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13_ncr:1_{BEA2BB03-08BF-419E-B8E2-5FF8BC2F00CF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45" i="5" a="1"/>
  <c r="D45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68" i="5"/>
  <c r="G84" i="5"/>
  <c r="G48" i="5"/>
  <c r="G3" i="5"/>
  <c r="G39" i="5"/>
  <c r="G100" i="5"/>
  <c r="G41" i="5"/>
  <c r="G88" i="5"/>
  <c r="G6" i="5"/>
  <c r="G72" i="5"/>
  <c r="G18" i="5"/>
  <c r="G90" i="5"/>
  <c r="G80" i="5"/>
  <c r="G17" i="5"/>
  <c r="G63" i="5"/>
  <c r="G52" i="5"/>
  <c r="G47" i="5"/>
  <c r="G32" i="5"/>
  <c r="G55" i="5"/>
  <c r="G7" i="5"/>
  <c r="G86" i="5"/>
  <c r="G87" i="5"/>
  <c r="G98" i="5"/>
  <c r="G40" i="5"/>
  <c r="G49" i="5"/>
  <c r="G31" i="5"/>
  <c r="G19" i="5"/>
  <c r="G13" i="5"/>
  <c r="G66" i="5"/>
  <c r="G96" i="5"/>
  <c r="G76" i="5"/>
  <c r="G99" i="5"/>
  <c r="G9" i="5"/>
  <c r="G94" i="5"/>
  <c r="G11" i="5"/>
  <c r="G21" i="5"/>
  <c r="G71" i="5"/>
  <c r="G8" i="5"/>
  <c r="G15" i="5"/>
  <c r="G42" i="5"/>
  <c r="G91" i="5"/>
  <c r="G5" i="5"/>
  <c r="G45" i="5"/>
  <c r="G97" i="5"/>
  <c r="G38" i="5"/>
  <c r="G62" i="5"/>
  <c r="G43" i="5"/>
  <c r="G75" i="5"/>
  <c r="G64" i="5"/>
  <c r="G53" i="5"/>
  <c r="G36" i="5"/>
  <c r="G29" i="5"/>
  <c r="G65" i="5"/>
  <c r="G35" i="5"/>
  <c r="G37" i="5"/>
  <c r="G70" i="5"/>
  <c r="G83" i="5"/>
  <c r="G33" i="5"/>
  <c r="G92" i="5"/>
  <c r="G23" i="5"/>
  <c r="G26" i="5"/>
  <c r="G57" i="5"/>
  <c r="G54" i="5"/>
  <c r="G59" i="5"/>
  <c r="G73" i="5"/>
  <c r="G22" i="5"/>
  <c r="G67" i="5"/>
  <c r="G77" i="5"/>
  <c r="G16" i="5"/>
  <c r="G56" i="5"/>
  <c r="G79" i="5"/>
  <c r="G4" i="5"/>
  <c r="G51" i="5"/>
  <c r="G24" i="5"/>
  <c r="G95" i="5"/>
  <c r="G50" i="5"/>
  <c r="G46" i="5"/>
  <c r="G60" i="5"/>
  <c r="G101" i="5"/>
  <c r="G27" i="5"/>
  <c r="G58" i="5"/>
  <c r="G74" i="5"/>
  <c r="G10" i="5"/>
  <c r="G89" i="5"/>
  <c r="G25" i="5"/>
  <c r="G2" i="5"/>
  <c r="G82" i="5"/>
  <c r="G69" i="5"/>
  <c r="G93" i="5"/>
  <c r="G78" i="5"/>
  <c r="G44" i="5"/>
  <c r="G85" i="5"/>
  <c r="G14" i="5"/>
  <c r="G30" i="5"/>
  <c r="G20" i="5"/>
  <c r="G28" i="5"/>
  <c r="G81" i="5"/>
  <c r="G61" i="5"/>
  <c r="G12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50" i="5"/>
  <c r="N2" i="5"/>
  <c r="E79" i="5"/>
  <c r="M79" i="5"/>
  <c r="E41" i="5"/>
  <c r="N77" i="5"/>
  <c r="M98" i="5"/>
  <c r="M95" i="5"/>
  <c r="E42" i="5"/>
  <c r="M24" i="5"/>
  <c r="E40" i="5"/>
  <c r="E59" i="5"/>
  <c r="M31" i="5"/>
  <c r="N93" i="5"/>
  <c r="N31" i="5"/>
  <c r="N25" i="5"/>
  <c r="N30" i="5"/>
  <c r="M39" i="5"/>
  <c r="E19" i="5"/>
  <c r="E77" i="5"/>
  <c r="N53" i="5"/>
  <c r="M6" i="5"/>
  <c r="M45" i="5"/>
  <c r="M9" i="5"/>
  <c r="M80" i="5"/>
  <c r="E3" i="5"/>
  <c r="E35" i="5"/>
  <c r="E98" i="5"/>
  <c r="E78" i="5"/>
  <c r="N29" i="5"/>
  <c r="E8" i="5"/>
  <c r="E28" i="5"/>
  <c r="E91" i="5"/>
  <c r="E13" i="5"/>
  <c r="E64" i="5"/>
  <c r="M77" i="5"/>
  <c r="M90" i="5"/>
  <c r="M7" i="5"/>
  <c r="N54" i="5"/>
  <c r="E52" i="5"/>
  <c r="M81" i="5"/>
  <c r="E2" i="5"/>
  <c r="M88" i="5"/>
  <c r="M38" i="5"/>
  <c r="N11" i="5"/>
  <c r="E46" i="5"/>
  <c r="M33" i="5"/>
  <c r="N14" i="5"/>
  <c r="M19" i="5"/>
  <c r="M32" i="5"/>
  <c r="M59" i="5"/>
  <c r="M84" i="5"/>
  <c r="N67" i="5"/>
  <c r="M51" i="5"/>
  <c r="E43" i="5"/>
  <c r="N40" i="5"/>
  <c r="E76" i="5"/>
  <c r="N23" i="5"/>
  <c r="M17" i="5"/>
  <c r="N59" i="5"/>
  <c r="M41" i="5"/>
  <c r="N24" i="5"/>
  <c r="N49" i="5"/>
  <c r="N41" i="5"/>
  <c r="E5" i="5"/>
  <c r="N74" i="5"/>
  <c r="M14" i="5"/>
  <c r="E16" i="5"/>
  <c r="M28" i="5"/>
  <c r="N61" i="5"/>
  <c r="E92" i="5"/>
  <c r="E53" i="5"/>
  <c r="N65" i="5"/>
  <c r="E95" i="5"/>
  <c r="M96" i="5"/>
  <c r="N71" i="5"/>
  <c r="E20" i="5"/>
  <c r="M73" i="5"/>
  <c r="M61" i="5"/>
  <c r="E85" i="5"/>
  <c r="N45" i="5"/>
  <c r="N69" i="5"/>
  <c r="E80" i="5"/>
  <c r="M62" i="5"/>
  <c r="E27" i="5"/>
  <c r="N87" i="5"/>
  <c r="E44" i="5"/>
  <c r="N90" i="5"/>
  <c r="E90" i="5"/>
  <c r="M47" i="5"/>
  <c r="N100" i="5"/>
  <c r="N83" i="5"/>
  <c r="E11" i="5"/>
  <c r="M21" i="5"/>
  <c r="E36" i="5"/>
  <c r="N72" i="5"/>
  <c r="E73" i="5"/>
  <c r="M46" i="5"/>
  <c r="N52" i="5"/>
  <c r="E23" i="5"/>
  <c r="M10" i="5"/>
  <c r="E37" i="5"/>
  <c r="M15" i="5"/>
  <c r="N15" i="5"/>
  <c r="E14" i="5"/>
  <c r="N38" i="5"/>
  <c r="E29" i="5"/>
  <c r="N99" i="5"/>
  <c r="N64" i="5"/>
  <c r="N66" i="5"/>
  <c r="E75" i="5"/>
  <c r="M78" i="5"/>
  <c r="E93" i="5"/>
  <c r="E89" i="5"/>
  <c r="N48" i="5"/>
  <c r="N50" i="5"/>
  <c r="E32" i="5"/>
  <c r="N91" i="5"/>
  <c r="N96" i="5"/>
  <c r="N68" i="5"/>
  <c r="M50" i="5"/>
  <c r="M76" i="5"/>
  <c r="E88" i="5"/>
  <c r="E25" i="5"/>
  <c r="M8" i="5"/>
  <c r="M56" i="5"/>
  <c r="N37" i="5"/>
  <c r="M53" i="5"/>
  <c r="E55" i="5"/>
  <c r="N76" i="5"/>
  <c r="M57" i="5"/>
  <c r="M2" i="5"/>
  <c r="M86" i="5"/>
  <c r="M99" i="5"/>
  <c r="E51" i="5"/>
  <c r="E65" i="5"/>
  <c r="M71" i="5"/>
  <c r="N47" i="5"/>
  <c r="E57" i="5"/>
  <c r="M4" i="5"/>
  <c r="N16" i="5"/>
  <c r="N33" i="5"/>
  <c r="N63" i="5"/>
  <c r="N34" i="5"/>
  <c r="M68" i="5"/>
  <c r="M91" i="5"/>
  <c r="M64" i="5"/>
  <c r="E83" i="5"/>
  <c r="E15" i="5"/>
  <c r="E101" i="5"/>
  <c r="N28" i="5"/>
  <c r="E82" i="5"/>
  <c r="M44" i="5"/>
  <c r="N7" i="5"/>
  <c r="M83" i="5"/>
  <c r="N17" i="5"/>
  <c r="N42" i="5"/>
  <c r="N18" i="5"/>
  <c r="N27" i="5"/>
  <c r="E96" i="5"/>
  <c r="E31" i="5"/>
  <c r="M100" i="5"/>
  <c r="N82" i="5"/>
  <c r="N80" i="5"/>
  <c r="N55" i="5"/>
  <c r="M37" i="5"/>
  <c r="E22" i="5"/>
  <c r="M60" i="5"/>
  <c r="E33" i="5"/>
  <c r="M34" i="5"/>
  <c r="M66" i="5"/>
  <c r="M27" i="5"/>
  <c r="E18" i="5"/>
  <c r="N5" i="5"/>
  <c r="E72" i="5"/>
  <c r="N3" i="5"/>
  <c r="M25" i="5"/>
  <c r="E9" i="5"/>
  <c r="N73" i="5"/>
  <c r="M42" i="5"/>
  <c r="N60" i="5"/>
  <c r="M40" i="5"/>
  <c r="M54" i="5"/>
  <c r="N78" i="5"/>
  <c r="E48" i="5"/>
  <c r="E7" i="5"/>
  <c r="E49" i="5"/>
  <c r="M36" i="5"/>
  <c r="E34" i="5"/>
  <c r="M87" i="5"/>
  <c r="E61" i="5"/>
  <c r="N89" i="5"/>
  <c r="N84" i="5"/>
  <c r="N46" i="5"/>
  <c r="M70" i="5"/>
  <c r="N21" i="5"/>
  <c r="N98" i="5"/>
  <c r="E100" i="5"/>
  <c r="E69" i="5"/>
  <c r="N75" i="5"/>
  <c r="E86" i="5"/>
  <c r="E12" i="5"/>
  <c r="N95" i="5"/>
  <c r="E26" i="5"/>
  <c r="N4" i="5"/>
  <c r="N81" i="5"/>
  <c r="M13" i="5"/>
  <c r="N79" i="5"/>
  <c r="M101" i="5"/>
  <c r="N35" i="5"/>
  <c r="M26" i="5"/>
  <c r="M72" i="5"/>
  <c r="E21" i="5"/>
  <c r="N85" i="5"/>
  <c r="M35" i="5"/>
  <c r="M29" i="5"/>
  <c r="M49" i="5"/>
  <c r="N88" i="5"/>
  <c r="M12" i="5"/>
  <c r="N39" i="5"/>
  <c r="E58" i="5"/>
  <c r="E71" i="5"/>
  <c r="N12" i="5"/>
  <c r="M67" i="5"/>
  <c r="N43" i="5"/>
  <c r="N36" i="5"/>
  <c r="M55" i="5"/>
  <c r="E39" i="5"/>
  <c r="N62" i="5"/>
  <c r="N13" i="5"/>
  <c r="N8" i="5"/>
  <c r="E99" i="5"/>
  <c r="E54" i="5"/>
  <c r="N10" i="5"/>
  <c r="M43" i="5"/>
  <c r="M93" i="5"/>
  <c r="N6" i="5"/>
  <c r="N56" i="5"/>
  <c r="M3" i="5"/>
  <c r="M89" i="5"/>
  <c r="M30" i="5"/>
  <c r="N9" i="5"/>
  <c r="E56" i="5"/>
  <c r="E60" i="5"/>
  <c r="E66" i="5"/>
  <c r="M23" i="5"/>
  <c r="N32" i="5"/>
  <c r="M22" i="5"/>
  <c r="E67" i="5"/>
  <c r="E84" i="5"/>
  <c r="E97" i="5"/>
  <c r="M11" i="5"/>
  <c r="M92" i="5"/>
  <c r="N26" i="5"/>
  <c r="M65" i="5"/>
  <c r="E38" i="5"/>
  <c r="M48" i="5"/>
  <c r="E4" i="5"/>
  <c r="N86" i="5"/>
  <c r="E87" i="5"/>
  <c r="E24" i="5"/>
  <c r="M58" i="5"/>
  <c r="N94" i="5"/>
  <c r="E63" i="5"/>
  <c r="N97" i="5"/>
  <c r="E68" i="5"/>
  <c r="N57" i="5"/>
  <c r="M63" i="5"/>
  <c r="N70" i="5"/>
  <c r="E74" i="5"/>
  <c r="M52" i="5"/>
  <c r="M69" i="5"/>
  <c r="E6" i="5"/>
  <c r="E17" i="5"/>
  <c r="N58" i="5"/>
  <c r="M75" i="5"/>
  <c r="N44" i="5"/>
  <c r="E10" i="5"/>
  <c r="M16" i="5"/>
  <c r="M5" i="5"/>
  <c r="E81" i="5"/>
  <c r="M74" i="5"/>
  <c r="M20" i="5"/>
  <c r="M18" i="5"/>
  <c r="M97" i="5"/>
  <c r="N101" i="5"/>
  <c r="M85" i="5"/>
  <c r="N51" i="5"/>
  <c r="E94" i="5"/>
  <c r="E30" i="5"/>
  <c r="M94" i="5"/>
  <c r="E45" i="5"/>
  <c r="E47" i="5"/>
  <c r="N19" i="5"/>
  <c r="E70" i="5"/>
  <c r="N22" i="5"/>
  <c r="E62" i="5"/>
  <c r="N92" i="5"/>
  <c r="N20" i="5"/>
  <c r="M82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69" i="5"/>
  <c r="J97" i="5"/>
  <c r="J44" i="5"/>
  <c r="J84" i="5"/>
  <c r="J85" i="5"/>
  <c r="J89" i="5"/>
  <c r="J95" i="5"/>
  <c r="J7" i="5"/>
  <c r="J20" i="5"/>
  <c r="J78" i="5"/>
  <c r="J52" i="5"/>
  <c r="L29" i="5"/>
  <c r="J96" i="5"/>
  <c r="J64" i="5"/>
  <c r="J76" i="5"/>
  <c r="L86" i="5"/>
  <c r="J63" i="5"/>
  <c r="J69" i="5"/>
  <c r="J92" i="5"/>
  <c r="L7" i="5"/>
  <c r="L73" i="5"/>
  <c r="L89" i="5"/>
  <c r="L26" i="5"/>
  <c r="J60" i="5"/>
  <c r="L8" i="5"/>
  <c r="J12" i="5"/>
  <c r="J100" i="5"/>
  <c r="J81" i="5"/>
  <c r="L90" i="5"/>
  <c r="J28" i="5"/>
  <c r="L59" i="5"/>
  <c r="L28" i="5"/>
  <c r="J22" i="5"/>
  <c r="L84" i="5"/>
  <c r="L95" i="5"/>
  <c r="L57" i="5"/>
  <c r="L66" i="5"/>
  <c r="J54" i="5"/>
  <c r="L21" i="5"/>
  <c r="L47" i="5"/>
  <c r="L65" i="5"/>
  <c r="J30" i="5"/>
  <c r="L77" i="5"/>
  <c r="L87" i="5"/>
  <c r="L13" i="5"/>
  <c r="J58" i="5"/>
  <c r="J25" i="5"/>
  <c r="L3" i="5"/>
  <c r="J59" i="5"/>
  <c r="J71" i="5"/>
  <c r="J83" i="5"/>
  <c r="J75" i="5"/>
  <c r="L2" i="5"/>
  <c r="J38" i="5"/>
  <c r="J74" i="5"/>
  <c r="L85" i="5"/>
  <c r="J56" i="5"/>
  <c r="J29" i="5"/>
  <c r="J26" i="5"/>
  <c r="L81" i="5"/>
  <c r="J87" i="5"/>
  <c r="L55" i="5"/>
  <c r="L25" i="5"/>
  <c r="J94" i="5"/>
  <c r="L12" i="5"/>
  <c r="L97" i="5"/>
  <c r="L67" i="5"/>
  <c r="L36" i="5"/>
  <c r="J17" i="5"/>
  <c r="L39" i="5"/>
  <c r="J16" i="5"/>
  <c r="L99" i="5"/>
  <c r="L31" i="5"/>
  <c r="J86" i="5"/>
  <c r="L80" i="5"/>
  <c r="L64" i="5"/>
  <c r="L68" i="5"/>
  <c r="J31" i="5"/>
  <c r="J67" i="5"/>
  <c r="L34" i="5"/>
  <c r="J77" i="5"/>
  <c r="L96" i="5"/>
  <c r="J45" i="5"/>
  <c r="L53" i="5"/>
  <c r="L43" i="5"/>
  <c r="J24" i="5"/>
  <c r="J88" i="5"/>
  <c r="L23" i="5"/>
  <c r="L49" i="5"/>
  <c r="J68" i="5"/>
  <c r="J93" i="5"/>
  <c r="J6" i="5"/>
  <c r="L27" i="5"/>
  <c r="J2" i="5"/>
  <c r="J99" i="5"/>
  <c r="J37" i="5"/>
  <c r="L41" i="5"/>
  <c r="L19" i="5"/>
  <c r="L76" i="5"/>
  <c r="J14" i="5"/>
  <c r="J57" i="5"/>
  <c r="J15" i="5"/>
  <c r="L35" i="5"/>
  <c r="J55" i="5"/>
  <c r="J19" i="5"/>
  <c r="L74" i="5"/>
  <c r="L14" i="5"/>
  <c r="J62" i="5"/>
  <c r="L48" i="5"/>
  <c r="J9" i="5"/>
  <c r="J40" i="5"/>
  <c r="L42" i="5"/>
  <c r="L44" i="5"/>
  <c r="J98" i="5"/>
  <c r="L15" i="5"/>
  <c r="J53" i="5"/>
  <c r="L75" i="5"/>
  <c r="J27" i="5"/>
  <c r="L20" i="5"/>
  <c r="L22" i="5"/>
  <c r="L50" i="5"/>
  <c r="L72" i="5"/>
  <c r="J41" i="5"/>
  <c r="L46" i="5"/>
  <c r="L54" i="5"/>
  <c r="J35" i="5"/>
  <c r="L62" i="5"/>
  <c r="L92" i="5"/>
  <c r="J21" i="5"/>
  <c r="J33" i="5"/>
  <c r="J49" i="5"/>
  <c r="L83" i="5"/>
  <c r="L71" i="5"/>
  <c r="L82" i="5"/>
  <c r="L32" i="5"/>
  <c r="L78" i="5"/>
  <c r="L6" i="5"/>
  <c r="L56" i="5"/>
  <c r="J91" i="5"/>
  <c r="J51" i="5"/>
  <c r="L38" i="5"/>
  <c r="J73" i="5"/>
  <c r="L79" i="5"/>
  <c r="L16" i="5"/>
  <c r="L93" i="5"/>
  <c r="J61" i="5"/>
  <c r="L30" i="5"/>
  <c r="L18" i="5"/>
  <c r="J3" i="5"/>
  <c r="L17" i="5"/>
  <c r="J34" i="5"/>
  <c r="L91" i="5"/>
  <c r="J11" i="5"/>
  <c r="L52" i="5"/>
  <c r="L58" i="5"/>
  <c r="J66" i="5"/>
  <c r="J23" i="5"/>
  <c r="J90" i="5"/>
  <c r="J50" i="5"/>
  <c r="L9" i="5"/>
  <c r="L101" i="5"/>
  <c r="J32" i="5"/>
  <c r="L60" i="5"/>
  <c r="L5" i="5"/>
  <c r="J10" i="5"/>
  <c r="J42" i="5"/>
  <c r="J13" i="5"/>
  <c r="L70" i="5"/>
  <c r="L24" i="5"/>
  <c r="L98" i="5"/>
  <c r="J46" i="5"/>
  <c r="J43" i="5"/>
  <c r="L4" i="5"/>
  <c r="J4" i="5"/>
  <c r="J79" i="5"/>
  <c r="J8" i="5"/>
  <c r="J72" i="5"/>
  <c r="L100" i="5"/>
  <c r="J18" i="5"/>
  <c r="L94" i="5"/>
  <c r="J65" i="5"/>
  <c r="J101" i="5"/>
  <c r="L33" i="5"/>
  <c r="L51" i="5"/>
  <c r="L63" i="5"/>
  <c r="J36" i="5"/>
  <c r="J80" i="5"/>
  <c r="J82" i="5"/>
  <c r="J47" i="5"/>
  <c r="J5" i="5"/>
  <c r="J39" i="5"/>
  <c r="L61" i="5"/>
  <c r="L37" i="5"/>
  <c r="J70" i="5"/>
  <c r="L10" i="5"/>
  <c r="L40" i="5"/>
  <c r="L88" i="5"/>
  <c r="J48" i="5"/>
  <c r="L11" i="5"/>
  <c r="L45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3" i="5"/>
  <c r="K24" i="5"/>
  <c r="K45" i="5"/>
  <c r="K96" i="5"/>
  <c r="K75" i="5"/>
  <c r="K32" i="5"/>
  <c r="K97" i="5"/>
  <c r="K58" i="5"/>
  <c r="K39" i="5"/>
  <c r="K81" i="5"/>
  <c r="K64" i="5"/>
  <c r="K70" i="5"/>
  <c r="K99" i="5"/>
  <c r="K6" i="5"/>
  <c r="K40" i="5"/>
  <c r="K51" i="5"/>
  <c r="K8" i="5"/>
  <c r="K56" i="5"/>
  <c r="K83" i="5"/>
  <c r="K61" i="5"/>
  <c r="K84" i="5"/>
  <c r="K22" i="5"/>
  <c r="K16" i="5"/>
  <c r="K95" i="5"/>
  <c r="K90" i="5"/>
  <c r="K79" i="5"/>
  <c r="K27" i="5"/>
  <c r="K29" i="5"/>
  <c r="K93" i="5"/>
  <c r="K73" i="5"/>
  <c r="K4" i="5"/>
  <c r="K11" i="5"/>
  <c r="K36" i="5"/>
  <c r="K80" i="5"/>
  <c r="K101" i="5"/>
  <c r="K3" i="5"/>
  <c r="K26" i="5"/>
  <c r="K77" i="5"/>
  <c r="K74" i="5"/>
  <c r="K88" i="5"/>
  <c r="K63" i="5"/>
  <c r="K87" i="5"/>
  <c r="K5" i="5"/>
  <c r="K47" i="5"/>
  <c r="K23" i="5"/>
  <c r="K76" i="5"/>
  <c r="K91" i="5"/>
  <c r="K30" i="5"/>
  <c r="K33" i="5"/>
  <c r="K67" i="5"/>
  <c r="K41" i="5"/>
  <c r="K65" i="5"/>
  <c r="K9" i="5"/>
  <c r="K71" i="5"/>
  <c r="K14" i="5"/>
  <c r="K78" i="5"/>
  <c r="K2" i="5"/>
  <c r="K54" i="5"/>
  <c r="K66" i="5"/>
  <c r="K34" i="5"/>
  <c r="K85" i="5"/>
  <c r="K17" i="5"/>
  <c r="K18" i="5"/>
  <c r="K82" i="5"/>
  <c r="K89" i="5"/>
  <c r="K98" i="5"/>
  <c r="K68" i="5"/>
  <c r="K69" i="5"/>
  <c r="K52" i="5"/>
  <c r="K7" i="5"/>
  <c r="K55" i="5"/>
  <c r="K15" i="5"/>
  <c r="K62" i="5"/>
  <c r="K49" i="5"/>
  <c r="K25" i="5"/>
  <c r="K12" i="5"/>
  <c r="K92" i="5"/>
  <c r="K31" i="5"/>
  <c r="K59" i="5"/>
  <c r="K13" i="5"/>
  <c r="K72" i="5"/>
  <c r="K50" i="5"/>
  <c r="K21" i="5"/>
  <c r="K100" i="5"/>
  <c r="K48" i="5"/>
  <c r="K42" i="5"/>
  <c r="K60" i="5"/>
  <c r="K37" i="5"/>
  <c r="K28" i="5"/>
  <c r="K35" i="5"/>
  <c r="K94" i="5"/>
  <c r="K53" i="5"/>
  <c r="K20" i="5"/>
  <c r="K10" i="5"/>
  <c r="K46" i="5"/>
  <c r="K86" i="5"/>
  <c r="K44" i="5"/>
  <c r="K38" i="5"/>
  <c r="K19" i="5"/>
  <c r="K57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47" i="5"/>
  <c r="I98" i="5"/>
  <c r="I49" i="5"/>
  <c r="I100" i="5"/>
  <c r="I86" i="5"/>
  <c r="I64" i="5"/>
  <c r="I61" i="5"/>
  <c r="I9" i="5"/>
  <c r="I81" i="5"/>
  <c r="I66" i="5"/>
  <c r="I27" i="5"/>
  <c r="I101" i="5"/>
  <c r="I37" i="5"/>
  <c r="I15" i="5"/>
  <c r="I44" i="5"/>
  <c r="I78" i="5"/>
  <c r="I16" i="5"/>
  <c r="I85" i="5"/>
  <c r="I96" i="5"/>
  <c r="I95" i="5"/>
  <c r="I48" i="5"/>
  <c r="I60" i="5"/>
  <c r="I70" i="5"/>
  <c r="I8" i="5"/>
  <c r="I38" i="5"/>
  <c r="I31" i="5"/>
  <c r="I88" i="5"/>
  <c r="I74" i="5"/>
  <c r="I13" i="5"/>
  <c r="I56" i="5"/>
  <c r="I89" i="5"/>
  <c r="I91" i="5"/>
  <c r="I63" i="5"/>
  <c r="I76" i="5"/>
  <c r="I43" i="5"/>
  <c r="I57" i="5"/>
  <c r="I68" i="5"/>
  <c r="I34" i="5"/>
  <c r="I82" i="5"/>
  <c r="I14" i="5"/>
  <c r="I73" i="5"/>
  <c r="I90" i="5"/>
  <c r="I93" i="5"/>
  <c r="I71" i="5"/>
  <c r="I41" i="5"/>
  <c r="I75" i="5"/>
  <c r="I58" i="5"/>
  <c r="I30" i="5"/>
  <c r="I19" i="5"/>
  <c r="I28" i="5"/>
  <c r="I87" i="5"/>
  <c r="I99" i="5"/>
  <c r="I51" i="5"/>
  <c r="I6" i="5"/>
  <c r="I97" i="5"/>
  <c r="I40" i="5"/>
  <c r="I10" i="5"/>
  <c r="I20" i="5"/>
  <c r="I94" i="5"/>
  <c r="I2" i="5"/>
  <c r="I21" i="5"/>
  <c r="I12" i="5"/>
  <c r="I39" i="5"/>
  <c r="I24" i="5"/>
  <c r="I29" i="5"/>
  <c r="I23" i="5"/>
  <c r="I69" i="5"/>
  <c r="I45" i="5"/>
  <c r="I79" i="5"/>
  <c r="I59" i="5"/>
  <c r="I62" i="5"/>
  <c r="I4" i="5"/>
  <c r="I22" i="5"/>
  <c r="I84" i="5"/>
  <c r="I52" i="5"/>
  <c r="I50" i="5"/>
  <c r="I5" i="5"/>
  <c r="I35" i="5"/>
  <c r="I18" i="5"/>
  <c r="I54" i="5"/>
  <c r="I42" i="5"/>
  <c r="I25" i="5"/>
  <c r="I3" i="5"/>
  <c r="I72" i="5"/>
  <c r="I77" i="5"/>
  <c r="I46" i="5"/>
  <c r="I92" i="5"/>
  <c r="I26" i="5"/>
  <c r="I36" i="5"/>
  <c r="I33" i="5"/>
  <c r="I53" i="5"/>
  <c r="I80" i="5"/>
  <c r="I7" i="5"/>
  <c r="I67" i="5"/>
  <c r="I17" i="5"/>
  <c r="I32" i="5"/>
  <c r="I65" i="5"/>
  <c r="I11" i="5"/>
  <c r="I55" i="5"/>
  <c r="I8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90" i="5"/>
  <c r="F44" i="5"/>
  <c r="F78" i="5"/>
  <c r="F66" i="5"/>
  <c r="F56" i="5"/>
  <c r="F23" i="5"/>
  <c r="F77" i="5"/>
  <c r="F93" i="5"/>
  <c r="F88" i="5"/>
  <c r="F50" i="5"/>
  <c r="F42" i="5"/>
  <c r="F9" i="5"/>
  <c r="F98" i="5"/>
  <c r="F29" i="5"/>
  <c r="F60" i="5"/>
  <c r="F10" i="5"/>
  <c r="F6" i="5"/>
  <c r="F2" i="5"/>
  <c r="F18" i="5"/>
  <c r="F65" i="5"/>
  <c r="F92" i="5"/>
  <c r="F12" i="5"/>
  <c r="F16" i="5"/>
  <c r="F100" i="5"/>
  <c r="F7" i="5"/>
  <c r="F61" i="5"/>
  <c r="F11" i="5"/>
  <c r="F15" i="5"/>
  <c r="F55" i="5"/>
  <c r="F17" i="5"/>
  <c r="F95" i="5"/>
  <c r="F39" i="5"/>
  <c r="F37" i="5"/>
  <c r="F82" i="5"/>
  <c r="F83" i="5"/>
  <c r="F3" i="5"/>
  <c r="F94" i="5"/>
  <c r="F31" i="5"/>
  <c r="F41" i="5"/>
  <c r="F46" i="5"/>
  <c r="F43" i="5"/>
  <c r="F80" i="5"/>
  <c r="F84" i="5"/>
  <c r="F101" i="5"/>
  <c r="F14" i="5"/>
  <c r="F13" i="5"/>
  <c r="F86" i="5"/>
  <c r="F28" i="5"/>
  <c r="F68" i="5"/>
  <c r="F22" i="5"/>
  <c r="F74" i="5"/>
  <c r="F36" i="5"/>
  <c r="F69" i="5"/>
  <c r="F32" i="5"/>
  <c r="F24" i="5"/>
  <c r="F45" i="5"/>
  <c r="F89" i="5"/>
  <c r="F48" i="5"/>
  <c r="F38" i="5"/>
  <c r="F72" i="5"/>
  <c r="F5" i="5"/>
  <c r="F52" i="5"/>
  <c r="F21" i="5"/>
  <c r="F71" i="5"/>
  <c r="F57" i="5"/>
  <c r="F76" i="5"/>
  <c r="F58" i="5"/>
  <c r="F59" i="5"/>
  <c r="F73" i="5"/>
  <c r="F70" i="5"/>
  <c r="F27" i="5"/>
  <c r="F25" i="5"/>
  <c r="F8" i="5"/>
  <c r="F49" i="5"/>
  <c r="F54" i="5"/>
  <c r="F51" i="5"/>
  <c r="F99" i="5"/>
  <c r="F79" i="5"/>
  <c r="F33" i="5"/>
  <c r="F35" i="5"/>
  <c r="F30" i="5"/>
  <c r="F34" i="5"/>
  <c r="F64" i="5"/>
  <c r="F67" i="5"/>
  <c r="F97" i="5"/>
  <c r="F91" i="5"/>
  <c r="F63" i="5"/>
  <c r="F87" i="5"/>
  <c r="F75" i="5"/>
  <c r="F20" i="5"/>
  <c r="F53" i="5"/>
  <c r="F62" i="5"/>
  <c r="F85" i="5"/>
  <c r="F40" i="5"/>
  <c r="F4" i="5"/>
  <c r="F81" i="5"/>
  <c r="F19" i="5"/>
  <c r="F96" i="5"/>
  <c r="F26" i="5"/>
  <c r="F47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97" i="5"/>
  <c r="H87" i="5"/>
  <c r="H26" i="5"/>
  <c r="H77" i="5"/>
  <c r="H36" i="5"/>
  <c r="H83" i="5"/>
  <c r="H55" i="5"/>
  <c r="H34" i="5"/>
  <c r="H90" i="5"/>
  <c r="H81" i="5"/>
  <c r="H50" i="5"/>
  <c r="H33" i="5"/>
  <c r="H5" i="5"/>
  <c r="H84" i="5"/>
  <c r="H29" i="5"/>
  <c r="H71" i="5"/>
  <c r="H30" i="5"/>
  <c r="H8" i="5"/>
  <c r="H35" i="5"/>
  <c r="H74" i="5"/>
  <c r="H12" i="5"/>
  <c r="H10" i="5"/>
  <c r="H95" i="5"/>
  <c r="H28" i="5"/>
  <c r="H101" i="5"/>
  <c r="H44" i="5"/>
  <c r="H46" i="5"/>
  <c r="H53" i="5"/>
  <c r="H52" i="5"/>
  <c r="H56" i="5"/>
  <c r="H32" i="5"/>
  <c r="H39" i="5"/>
  <c r="H43" i="5"/>
  <c r="H99" i="5"/>
  <c r="H51" i="5"/>
  <c r="H40" i="5"/>
  <c r="H19" i="5"/>
  <c r="H41" i="5"/>
  <c r="H63" i="5"/>
  <c r="H75" i="5"/>
  <c r="H2" i="5"/>
  <c r="H96" i="5"/>
  <c r="H38" i="5"/>
  <c r="H18" i="5"/>
  <c r="H27" i="5"/>
  <c r="H37" i="5"/>
  <c r="H92" i="5"/>
  <c r="H23" i="5"/>
  <c r="H47" i="5"/>
  <c r="H64" i="5"/>
  <c r="H6" i="5"/>
  <c r="H17" i="5"/>
  <c r="H15" i="5"/>
  <c r="H82" i="5"/>
  <c r="H91" i="5"/>
  <c r="H20" i="5"/>
  <c r="H98" i="5"/>
  <c r="H14" i="5"/>
  <c r="H11" i="5"/>
  <c r="H67" i="5"/>
  <c r="H76" i="5"/>
  <c r="H7" i="5"/>
  <c r="H48" i="5"/>
  <c r="H80" i="5"/>
  <c r="H25" i="5"/>
  <c r="H68" i="5"/>
  <c r="H86" i="5"/>
  <c r="H88" i="5"/>
  <c r="H21" i="5"/>
  <c r="H42" i="5"/>
  <c r="H59" i="5"/>
  <c r="H31" i="5"/>
  <c r="H49" i="5"/>
  <c r="H3" i="5"/>
  <c r="H93" i="5"/>
  <c r="H45" i="5"/>
  <c r="H60" i="5"/>
  <c r="H54" i="5"/>
  <c r="H79" i="5"/>
  <c r="H22" i="5"/>
  <c r="H100" i="5"/>
  <c r="H16" i="5"/>
  <c r="H58" i="5"/>
  <c r="H66" i="5"/>
  <c r="H62" i="5"/>
  <c r="H69" i="5"/>
  <c r="H94" i="5"/>
  <c r="H57" i="5"/>
  <c r="H13" i="5"/>
  <c r="H4" i="5"/>
  <c r="H73" i="5"/>
  <c r="H70" i="5"/>
  <c r="H65" i="5"/>
  <c r="H61" i="5"/>
  <c r="H72" i="5"/>
  <c r="H89" i="5"/>
  <c r="H9" i="5"/>
  <c r="H85" i="5"/>
  <c r="H78" i="5"/>
  <c r="H24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<sst xmlns="http://schemas.openxmlformats.org/spreadsheetml/2006/main" count="481" uniqueCount="297">
  <si>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</si>
  <si>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</si>
  <si>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</si>
  <si>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</si>
  <si>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</si>
  <si>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</si>
  <si>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</si>
  <si>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</si>
  <si>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</si>
  <si>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</si>
  <si>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</si>
  <si>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</si>
  <si>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</si>
  <si>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</si>
  <si>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</si>
  <si>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</si>
  <si>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</si>
  <si>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</si>
  <si>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</si>
  <si>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</si>
  <si>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</si>
  <si>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</si>
  <si>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</si>
  <si>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</si>
  <si>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</si>
  <si>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</si>
  <si>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</si>
  <si>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</si>
  <si>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</si>
  <si>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</si>
  <si>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</si>
  <si>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</si>
  <si>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</si>
  <si>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</si>
  <si>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</si>
  <si>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</si>
  <si>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</si>
  <si>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</si>
  <si>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</si>
  <si>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</si>
  <si>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</si>
  <si>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</si>
  <si>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</si>
  <si>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</si>
  <si>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</si>
  <si>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</si>
  <si>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</si>
  <si>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</si>
  <si>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</si>
  <si>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</si>
  <si>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</si>
  <si>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</si>
  <si>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</si>
  <si>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</si>
  <si>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</si>
  <si>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</si>
  <si>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</si>
  <si>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</si>
  <si>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</si>
  <si>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</si>
  <si>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</si>
  <si>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</si>
  <si>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</si>
  <si>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</si>
  <si>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</si>
  <si>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</si>
  <si>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</si>
  <si>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</si>
  <si>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</si>
  <si>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</si>
  <si>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</si>
  <si>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</si>
  <si>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</si>
  <si>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</si>
  <si>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</si>
  <si>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</si>
  <si>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</si>
  <si>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</si>
  <si>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</si>
  <si>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</si>
  <si>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</si>
  <si>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</si>
  <si>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</si>
  <si>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</si>
  <si>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</si>
  <si>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</si>
  <si>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</si>
  <si>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</si>
  <si>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</si>
  <si>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</si>
  <si>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</si>
  <si>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</si>
  <si>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</si>
  <si>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</si>
  <si>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</si>
  <si>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</si>
  <si>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</si>
  <si>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</si>
  <si>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</si>
  <si>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</si>
  <si>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</si>
  <si>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</si>
  <si>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</si>
  <si>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</si>
  <si>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</si>
  <si>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</si>
  <si>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</si>
  <si>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</si>
  <si>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</si>
  <si>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</si>
  <si>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</si>
  <si>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</si>
  <si>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</si>
  <si>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</si>
  <si>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</si>
  <si>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</si>
  <si>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</si>
  <si>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</si>
  <si>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</si>
  <si>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</si>
  <si>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</si>
  <si>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</si>
  <si>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</si>
  <si>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</si>
  <si>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</si>
  <si>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</si>
  <si>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</si>
  <si>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</si>
  <si>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</si>
  <si>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</si>
  <si>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</si>
  <si>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</si>
  <si>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</si>
  <si>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</si>
  <si>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</si>
  <si>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</si>
  <si>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</si>
  <si>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</si>
  <si>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</si>
  <si>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</si>
  <si>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</si>
  <si>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</si>
  <si>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</si>
  <si>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</si>
  <si>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</si>
  <si>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</si>
  <si>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</si>
  <si>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</si>
  <si>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</si>
  <si>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</si>
  <si>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</si>
  <si>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</si>
  <si>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</si>
  <si>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</si>
  <si>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</si>
  <si>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</si>
  <si>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</si>
  <si>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</si>
  <si>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</si>
  <si>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</si>
  <si>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</si>
  <si>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</si>
  <si>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</si>
  <si>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</si>
  <si>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</si>
  <si>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</si>
  <si>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</si>
  <si>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</si>
  <si>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</si>
  <si>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</si>
  <si>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</si>
  <si>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</si>
  <si>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</si>
  <si>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</si>
  <si>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</si>
  <si>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</si>
  <si>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</si>
  <si>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</si>
  <si>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</si>
  <si>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</si>
  <si>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</si>
  <si>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</si>
  <si>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</si>
  <si>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</si>
  <si>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</si>
  <si>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</si>
  <si>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</si>
  <si>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</si>
  <si>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</si>
  <si>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</si>
  <si>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</si>
  <si>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</si>
  <si>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</si>
  <si>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</si>
  <si>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</si>
  <si>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</si>
  <si>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</si>
  <si>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</si>
  <si>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</si>
  <si>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</si>
  <si>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</si>
  <si>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</si>
  <si>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</si>
  <si>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</si>
  <si>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</si>
  <si>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</si>
  <si>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</si>
  <si>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</si>
  <si>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</si>
  <si>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</si>
  <si>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</si>
  <si>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</si>
  <si>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</si>
  <si>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</si>
  <si>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</si>
  <si>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</si>
  <si>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</si>
  <si>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</si>
  <si>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</si>
  <si>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Leopoldo Bolaños</t>
  </si>
  <si>
    <t>Martin Palacios</t>
  </si>
  <si>
    <t>Matias Medina</t>
  </si>
  <si>
    <t>Leopoldo, Martin, Matias</t>
  </si>
  <si>
    <t>Leopoldo, Martin, Matias, Campoverde</t>
  </si>
  <si>
    <t>Presentacion del proyecto disponible</t>
  </si>
  <si>
    <t>Disponibilidad del documento inicial</t>
  </si>
  <si>
    <t>Confirmacion del Proyecto</t>
  </si>
  <si>
    <t>Aprobación y formalización</t>
  </si>
  <si>
    <t>Análisis y planteamiento del problema</t>
  </si>
  <si>
    <t>Definición del problema central</t>
  </si>
  <si>
    <t>Definición de objetivos y alcance</t>
  </si>
  <si>
    <t>Establecer límites del proyecto</t>
  </si>
  <si>
    <t>Elaboracion de la historia de usuario</t>
  </si>
  <si>
    <t>Redacción de historias iniciales</t>
  </si>
  <si>
    <t>Estructuración de la Matriz de Marco de Trabajo</t>
  </si>
  <si>
    <t>Definición del framework</t>
  </si>
  <si>
    <t>Revision del Perfil del Proyecto</t>
  </si>
  <si>
    <t>Defensa presencial del perfil</t>
  </si>
  <si>
    <t>Revision y correccion del perfil</t>
  </si>
  <si>
    <t>Ajustes al perfil del proyecto</t>
  </si>
  <si>
    <t>Revision y correccion del marco de trabajo</t>
  </si>
  <si>
    <t>Solicitud de requisitos por el cliente</t>
  </si>
  <si>
    <t>Reunion con el cliente para planificar los requisitos funcionales</t>
  </si>
  <si>
    <t>Sesión de levantamiento con cliente</t>
  </si>
  <si>
    <t>Coreccion y seleccion de requistos funcionales</t>
  </si>
  <si>
    <t>Filtrado y priorización de requisitos</t>
  </si>
  <si>
    <t>Reunion Grupal para la organizacion del trabajo</t>
  </si>
  <si>
    <t>Sincronización interna del equipo</t>
  </si>
  <si>
    <t>Planificacion del Sprint 1</t>
  </si>
  <si>
    <t>Definición del Sprint Backlog 1</t>
  </si>
  <si>
    <t>Reunion con el cliente para solventar dudas y agregar requisitos funcionales</t>
  </si>
  <si>
    <t>Aclaraciones con stakeholder</t>
  </si>
  <si>
    <t>Actualizacion de la Matriz de Historias de usuario</t>
  </si>
  <si>
    <t>Refinamiento de historias</t>
  </si>
  <si>
    <t>Elaboración del requisito funcional 1</t>
  </si>
  <si>
    <t>Desarrollo/Diseño RF1</t>
  </si>
  <si>
    <t>Elaboración del requisito funcional 2</t>
  </si>
  <si>
    <t>Desarrollo/Diseño RF2</t>
  </si>
  <si>
    <t>Elaboración del requisito funcional 3</t>
  </si>
  <si>
    <t>Desarrollo/Diseño RF3</t>
  </si>
  <si>
    <t>Elaboracion del backlog</t>
  </si>
  <si>
    <t>Consolidación de la lista de producto</t>
  </si>
  <si>
    <t>Revision del Sprint 1 funcional</t>
  </si>
  <si>
    <t>Validación interna del entregable</t>
  </si>
  <si>
    <t>Presentacion del Sprint 1 funcional al cliente</t>
  </si>
  <si>
    <t>Alineación para segunda etapa</t>
  </si>
  <si>
    <t>Planificacion del Sprint 2</t>
  </si>
  <si>
    <t>Definición del Sprint Backlog 2</t>
  </si>
  <si>
    <t>Elaboración del requisito funcional 4</t>
  </si>
  <si>
    <t>Desarrollo/Diseño RF4</t>
  </si>
  <si>
    <t>Elaboración del requisito funcional 5</t>
  </si>
  <si>
    <t>Desarrollo/Diseño RF5</t>
  </si>
  <si>
    <t>Elaboración del requisito funcional 6</t>
  </si>
  <si>
    <t>Desarrollo/Diseño RF6</t>
  </si>
  <si>
    <t>Actualizacion del backlog</t>
  </si>
  <si>
    <t>Mantenimiento del Product Backlog</t>
  </si>
  <si>
    <t>Revision del Sprint 2 funcional</t>
  </si>
  <si>
    <t>Evaluación de calidad</t>
  </si>
  <si>
    <t>Presentacion del Sprint 2 funcional al cliente</t>
  </si>
  <si>
    <t>Revision con el cliente</t>
  </si>
  <si>
    <t>2026-04-29</t>
  </si>
  <si>
    <t>2026-05-07</t>
  </si>
  <si>
    <t>2026-04-30</t>
  </si>
  <si>
    <t>2026-05-08</t>
  </si>
  <si>
    <t>2026-05-11</t>
  </si>
  <si>
    <t>2026-05-13</t>
  </si>
  <si>
    <t>2026-05-15</t>
  </si>
  <si>
    <t>2026-05-12</t>
  </si>
  <si>
    <t>2026-05-18</t>
  </si>
  <si>
    <t>2026-05-22</t>
  </si>
  <si>
    <t>2026-05-25</t>
  </si>
  <si>
    <t>2026-05-29</t>
  </si>
  <si>
    <t>2026-06-01</t>
  </si>
  <si>
    <t>2026-06-08</t>
  </si>
  <si>
    <t>2026-06-12</t>
  </si>
  <si>
    <t>2026-06-10</t>
  </si>
  <si>
    <t>2026-06-05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</si>
</sst>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="70" zoomScaleNormal="70" workbookViewId="0">
      <pane ySplit="4" topLeftCell="A5" activePane="bottomLeft" state="frozen"/>
      <selection pane="bottomLeft" activeCell="I118" sqref="I118:J118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30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(2 de 30)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(4 de 30)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30)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(23 de 30)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(1 de 30)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 xml:space="preserve"> (0 de 30)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 xml:space="preserve"> (0 de 30)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30)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30)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30)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29:</v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Presentacion del Sprint 2 funcional al cliente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27: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Actualizacion del backlog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23: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Planificacion del Sprint 2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Resultados de las pruebas finales Stakeholder de desarrollo 
y de la organizaciòn</v>
      </c>
      <c r="Y6" s="114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Revision con el cliente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Mantenimiento del Product Backlog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Definición del Sprint Backlog 2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 xml:space="preserve">Realizar el Informe de Resultados de 
las pruebas finales </v>
      </c>
      <c r="Y7" s="114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2026-06-12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2026-06-08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t="str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2026-06-01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14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45687</v>
      </c>
      <c r="Y8" s="114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2026-06-12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2026-06-10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t="str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2026-06-05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14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45687</v>
      </c>
      <c r="Y9" s="114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2026-06-12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2026-06-10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t="str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2026-06-05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14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45687</v>
      </c>
      <c r="Y10" s="114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 días</v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3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>1 días</v>
      </c>
      <c r="Y11" s="114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>0 días</v>
      </c>
      <c r="Y12" s="114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Leopoldo, Martin, Matias, Campoverde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Leopoldo, Martin, Matias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Leopoldo, Martin, Matias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Ruben Arroyo</v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28:</v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Revision del Sprint 2 funcional</v>
      </c>
      <c r="E15" s="114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26:</v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Elaboración del requisito funcional 6</v>
      </c>
      <c r="J15" s="114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22: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Reunion Grupal para la organizacion del trabajo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Evaluación de calidad</v>
      </c>
      <c r="E16" s="114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Desarrollo/Diseño RF6</v>
      </c>
      <c r="J16" s="114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Alineación para segunda etapa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2026-06-12</v>
      </c>
      <c r="E17" s="114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2026-06-08</v>
      </c>
      <c r="J17" s="114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t="str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2026-06-01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2026-06-12</v>
      </c>
      <c r="E18" s="114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2026-06-12</v>
      </c>
      <c r="J18" s="114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t="str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2026-06-05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2026-06-12</v>
      </c>
      <c r="E19" s="114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2026-06-12</v>
      </c>
      <c r="J19" s="114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t="str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2026-06-05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1 días</v>
      </c>
      <c r="E20" s="114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5 días</v>
      </c>
      <c r="J20" s="114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14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4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Ing. Jenny Ruiz</v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Leopoldo Bolaños</v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Leopoldo, Martin, Matias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25:</v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Elaboración del requisito funcional 5</v>
      </c>
      <c r="J24" s="114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21: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Presentacion del Sprint 1 funcional al cliente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Desarrollo/Diseño RF5</v>
      </c>
      <c r="J25" s="114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Revision con el cliente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2026-06-08</v>
      </c>
      <c r="J26" s="114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t="str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2026-05-29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2026-06-12</v>
      </c>
      <c r="J27" s="114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t="str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2026-06-01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2026-06-12</v>
      </c>
      <c r="J28" s="114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t="str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2026-06-01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5 días</v>
      </c>
      <c r="J29" s="114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4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Matias Medina</v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Leopoldo, Martin, Matias, Campoverde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24:</v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Elaboración del requisito funcional 4</v>
      </c>
      <c r="J33" s="114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20: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Revision del Sprint 1 funcional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Desarrollo/Diseño RF4</v>
      </c>
      <c r="J34" s="114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Validación interna del entregable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2026-06-08</v>
      </c>
      <c r="J35" s="114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t="str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2026-05-25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2026-06-12</v>
      </c>
      <c r="J36" s="114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t="str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2026-05-29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2026-06-12</v>
      </c>
      <c r="J37" s="114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t="str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2026-05-29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5 días</v>
      </c>
      <c r="J38" s="114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4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Martin Palacios</v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Ing. Jenny Ruiz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19: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Elaboracion del backlog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Consolidación de la lista de producto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t="str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2026-05-18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t="str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2026-05-22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t="str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2026-05-22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Leopoldo, Martin, Matias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18: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Elaboración del requisito funcional 3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Desarrollo/Diseño RF3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t="str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2026-05-12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t="str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2026-05-13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t="str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2026-05-13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Matias Medina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17: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Elaboración del requisito funcional 2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Desarrollo/Diseño RF2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2026-05-12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2026-05-13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2026-05-13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Leopoldo Bolaños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16: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Elaboración del requisito funcional 1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Desarrollo/Diseño RF1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2026-05-12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2026-05-13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2026-05-13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Martin Palacios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15: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Actualizacion de la Matriz de Historias de usuario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Refinamiento de historias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2026-05-15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2026-05-15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2026-05-15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Leopoldo, Martin, Matias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14: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Reunion con el cliente para solventar dudas y agregar requisitos funcionales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Aclaraciones con stakeholder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2026-05-13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2026-05-13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2026-05-13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Leopoldo, Martin, Matias, Campoverde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13: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Planificacion del Sprint 1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Definición del Sprint Backlog 1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2026-05-11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2026-05-13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2026-05-13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Leopoldo, Martin, Matias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12: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Reunion Grupal para la organizacion del trabajo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Sincronización interna del equipo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2026-05-11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2026-05-11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2026-05-11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Leopoldo, Martin, Matias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11: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Coreccion y seleccion de requistos funcionales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Filtrado y priorización de requisitos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2026-05-07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2026-05-08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2026-05-08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Leopoldo, Martin, Matias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10: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Reunion con el cliente para planificar los requisitos funcionales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Sesión de levantamiento con cliente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2026-05-07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2026-05-08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2026-05-08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Leopoldo, Martin, Matias, Campoverde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9: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Revision y correccion del marco de trabajo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Solicitud de requisitos por el cliente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2026-05-08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2026-05-08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2026-05-08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Ing. Jenny Ruiz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8: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Revision y correccion del perfil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Ajustes al perfil del proyecto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2026-05-08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2026-05-08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2026-05-08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Leopoldo, Martin, Matias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7: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Revision del Perfil del Proyecto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Defensa presencial del perfil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2026-05-08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2026-05-07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2026-05-07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0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Ing. Jenny Ruiz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6: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Estructuración de la Matriz de Marco de Trabajo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Definición del framework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2026-05-07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2026-05-07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2026-05-07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Leopoldo, Martin, Matias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5: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Elaboracion de la historia de usuario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Redacción de historias iniciales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2026-05-07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2026-05-07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2026-05-07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Leopoldo, Martin, Matias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4: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Definición de objetivos y alcance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Establecer límites del proyecto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2026-05-07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2026-05-07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2026-05-07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Leopoldo, Martin, Matias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3: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Análisis y planteamiento del problema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Definición del problema central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2026-05-07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2026-05-07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2026-05-07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Leopoldo, Martin, Matias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2: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Confirmacion del Proyecto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Aprobación y formalización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2026-04-30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2026-05-07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2026-05-07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8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150" zoomScaleNormal="150" workbookViewId="0">
      <pane ySplit="1" topLeftCell="A18" activePane="bottomLeft" state="frozen"/>
      <selection pane="bottomLeft" activeCell="B32" sqref="B32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5</v>
      </c>
      <c r="B2" s="92" t="s">
        <v>3</v>
      </c>
      <c r="C2" s="104" t="s">
        <v>224</v>
      </c>
      <c r="D2" s="102" t="s">
        <v>225</v>
      </c>
      <c r="E2" s="103" t="s">
        <v>280</v>
      </c>
      <c r="F2" s="93" t="s">
        <v>281</v>
      </c>
      <c r="G2" s="93" t="s">
        <v>281</v>
      </c>
      <c r="H2" s="43" t="str">
        <f>IF(Datos!$G2&gt;0,Datos!$G2-Datos!$E2+1 &amp; " " &amp; Idiomas!$A$29,"")</f>
        <v>9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5</v>
      </c>
      <c r="B3" s="95" t="s">
        <v>3</v>
      </c>
      <c r="C3" s="3" t="s">
        <v>226</v>
      </c>
      <c r="D3" s="104" t="s">
        <v>227</v>
      </c>
      <c r="E3" s="105" t="s">
        <v>282</v>
      </c>
      <c r="F3" s="96" t="s">
        <v>281</v>
      </c>
      <c r="G3" s="96" t="s">
        <v>281</v>
      </c>
      <c r="H3" s="45" t="str">
        <f>IF(Datos!$G3&gt;0,Datos!$G3-Datos!$E3+1 &amp; " " &amp; Idiomas!$A$29,"")</f>
        <v>8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228</v>
      </c>
      <c r="D4" s="92" t="s">
        <v>229</v>
      </c>
      <c r="E4" s="103" t="s">
        <v>281</v>
      </c>
      <c r="F4" s="93" t="s">
        <v>281</v>
      </c>
      <c r="G4" s="93" t="s">
        <v>281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230</v>
      </c>
      <c r="D5" s="95" t="s">
        <v>231</v>
      </c>
      <c r="E5" s="96" t="s">
        <v>281</v>
      </c>
      <c r="F5" s="96" t="s">
        <v>281</v>
      </c>
      <c r="G5" s="96" t="s">
        <v>281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222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6</v>
      </c>
      <c r="C6" s="107" t="s">
        <v>232</v>
      </c>
      <c r="D6" s="102" t="s">
        <v>233</v>
      </c>
      <c r="E6" s="93" t="s">
        <v>281</v>
      </c>
      <c r="F6" s="93" t="s">
        <v>281</v>
      </c>
      <c r="G6" s="93" t="s">
        <v>281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222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6</v>
      </c>
      <c r="C7" s="106" t="s">
        <v>234</v>
      </c>
      <c r="D7" s="95" t="s">
        <v>235</v>
      </c>
      <c r="E7" s="96" t="s">
        <v>281</v>
      </c>
      <c r="F7" s="96" t="s">
        <v>281</v>
      </c>
      <c r="G7" s="96" t="s">
        <v>281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222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3</v>
      </c>
      <c r="C8" s="109" t="s">
        <v>236</v>
      </c>
      <c r="D8" s="102" t="s">
        <v>237</v>
      </c>
      <c r="E8" s="110" t="s">
        <v>283</v>
      </c>
      <c r="F8" s="93" t="s">
        <v>281</v>
      </c>
      <c r="G8" s="110" t="s">
        <v>281</v>
      </c>
      <c r="H8" s="43" t="str">
        <f>IF(Datos!$G8&gt;0,Datos!$G8-Datos!$E8+1 &amp; " " &amp; Idiomas!$A$29,"")</f>
        <v>0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106" t="s">
        <v>238</v>
      </c>
      <c r="D9" s="95" t="s">
        <v>239</v>
      </c>
      <c r="E9" s="96" t="s">
        <v>283</v>
      </c>
      <c r="F9" s="96" t="s">
        <v>283</v>
      </c>
      <c r="G9" s="96" t="s">
        <v>283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5</v>
      </c>
      <c r="B10" s="92" t="s">
        <v>3</v>
      </c>
      <c r="C10" s="107" t="s">
        <v>240</v>
      </c>
      <c r="D10" s="92" t="s">
        <v>241</v>
      </c>
      <c r="E10" s="93" t="s">
        <v>283</v>
      </c>
      <c r="F10" s="93" t="s">
        <v>283</v>
      </c>
      <c r="G10" s="93" t="s">
        <v>283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6</v>
      </c>
      <c r="C11" s="106" t="s">
        <v>242</v>
      </c>
      <c r="D11" s="95" t="s">
        <v>243</v>
      </c>
      <c r="E11" s="97" t="s">
        <v>281</v>
      </c>
      <c r="F11" s="96" t="s">
        <v>283</v>
      </c>
      <c r="G11" s="96" t="s">
        <v>283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223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5</v>
      </c>
      <c r="B12" s="92" t="s">
        <v>3</v>
      </c>
      <c r="C12" s="107" t="s">
        <v>244</v>
      </c>
      <c r="D12" s="102" t="s">
        <v>245</v>
      </c>
      <c r="E12" s="98" t="s">
        <v>281</v>
      </c>
      <c r="F12" s="93" t="s">
        <v>283</v>
      </c>
      <c r="G12" s="93" t="s">
        <v>283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3</v>
      </c>
      <c r="C13" s="108" t="s">
        <v>246</v>
      </c>
      <c r="D13" s="104" t="s">
        <v>247</v>
      </c>
      <c r="E13" s="96" t="s">
        <v>284</v>
      </c>
      <c r="F13" s="96" t="s">
        <v>284</v>
      </c>
      <c r="G13" s="96" t="s">
        <v>284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91" t="s">
        <v>5</v>
      </c>
      <c r="B14" s="92" t="s">
        <v>6</v>
      </c>
      <c r="C14" s="107" t="s">
        <v>248</v>
      </c>
      <c r="D14" s="102" t="s">
        <v>249</v>
      </c>
      <c r="E14" s="110" t="s">
        <v>284</v>
      </c>
      <c r="F14" s="93" t="s">
        <v>285</v>
      </c>
      <c r="G14" s="110" t="s">
        <v>285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6</v>
      </c>
      <c r="C15" s="106" t="s">
        <v>250</v>
      </c>
      <c r="D15" s="95" t="s">
        <v>251</v>
      </c>
      <c r="E15" s="111" t="s">
        <v>285</v>
      </c>
      <c r="F15" s="96" t="s">
        <v>285</v>
      </c>
      <c r="G15" s="111" t="s">
        <v>285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223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 t="s">
        <v>5</v>
      </c>
      <c r="B16" s="92" t="s">
        <v>3</v>
      </c>
      <c r="C16" s="112" t="s">
        <v>252</v>
      </c>
      <c r="D16" s="102" t="s">
        <v>253</v>
      </c>
      <c r="E16" s="110" t="s">
        <v>286</v>
      </c>
      <c r="F16" s="110" t="s">
        <v>286</v>
      </c>
      <c r="G16" s="110" t="s">
        <v>286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5</v>
      </c>
      <c r="B17" s="95" t="s">
        <v>6</v>
      </c>
      <c r="C17" s="106" t="s">
        <v>254</v>
      </c>
      <c r="D17" s="104" t="s">
        <v>255</v>
      </c>
      <c r="E17" s="111" t="s">
        <v>287</v>
      </c>
      <c r="F17" s="96" t="s">
        <v>285</v>
      </c>
      <c r="G17" s="96" t="s">
        <v>285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220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6</v>
      </c>
      <c r="C18" s="109" t="s">
        <v>256</v>
      </c>
      <c r="D18" s="92" t="s">
        <v>257</v>
      </c>
      <c r="E18" s="110" t="s">
        <v>287</v>
      </c>
      <c r="F18" s="110" t="s">
        <v>285</v>
      </c>
      <c r="G18" s="110" t="s">
        <v>285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219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6</v>
      </c>
      <c r="C19" s="106" t="s">
        <v>258</v>
      </c>
      <c r="D19" s="95" t="s">
        <v>259</v>
      </c>
      <c r="E19" s="111" t="s">
        <v>287</v>
      </c>
      <c r="F19" s="111" t="s">
        <v>285</v>
      </c>
      <c r="G19" s="111" t="s">
        <v>285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221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109" t="s">
        <v>260</v>
      </c>
      <c r="D20" s="92" t="s">
        <v>261</v>
      </c>
      <c r="E20" s="110" t="s">
        <v>288</v>
      </c>
      <c r="F20" s="110" t="s">
        <v>289</v>
      </c>
      <c r="G20" s="110" t="s">
        <v>289</v>
      </c>
      <c r="H20" s="43" t="str">
        <f>IF(Datos!$G20&gt;0,Datos!$G20-Datos!$E20+1 &amp; " " &amp; Idiomas!$A$29,"")</f>
        <v>5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222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">
      <c r="A21" s="94" t="s">
        <v>5</v>
      </c>
      <c r="B21" s="95" t="s">
        <v>6</v>
      </c>
      <c r="C21" s="108" t="s">
        <v>262</v>
      </c>
      <c r="D21" s="104" t="s">
        <v>263</v>
      </c>
      <c r="E21" s="111" t="s">
        <v>290</v>
      </c>
      <c r="F21" s="111" t="s">
        <v>291</v>
      </c>
      <c r="G21" s="111" t="s">
        <v>291</v>
      </c>
      <c r="H21" s="45" t="str">
        <f>IF(Datos!$G21&gt;0,Datos!$G21-Datos!$E21+1 &amp; " " &amp; Idiomas!$A$29,"")</f>
        <v>5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218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6</v>
      </c>
      <c r="C22" s="109" t="s">
        <v>264</v>
      </c>
      <c r="D22" s="92" t="s">
        <v>279</v>
      </c>
      <c r="E22" s="110" t="s">
        <v>291</v>
      </c>
      <c r="F22" s="110" t="s">
        <v>292</v>
      </c>
      <c r="G22" s="110" t="s">
        <v>292</v>
      </c>
      <c r="H22" s="43" t="str">
        <f>IF(Datos!$G22&gt;0,Datos!$G22-Datos!$E22+1 &amp; " " &amp; Idiomas!$A$29,"")</f>
        <v>4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223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3</v>
      </c>
      <c r="C23" s="106" t="s">
        <v>246</v>
      </c>
      <c r="D23" s="95" t="s">
        <v>265</v>
      </c>
      <c r="E23" s="111" t="s">
        <v>292</v>
      </c>
      <c r="F23" s="111" t="s">
        <v>296</v>
      </c>
      <c r="G23" s="111" t="s">
        <v>296</v>
      </c>
      <c r="H23" s="45" t="str">
        <f>IF(Datos!$G23&gt;0,Datos!$G23-Datos!$E23+1 &amp; " " &amp; Idiomas!$A$29,"")</f>
        <v>5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222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3</v>
      </c>
      <c r="C24" s="109" t="s">
        <v>266</v>
      </c>
      <c r="D24" s="92" t="s">
        <v>267</v>
      </c>
      <c r="E24" s="110" t="s">
        <v>292</v>
      </c>
      <c r="F24" s="110" t="s">
        <v>296</v>
      </c>
      <c r="G24" s="110" t="s">
        <v>296</v>
      </c>
      <c r="H24" s="43" t="str">
        <f>IF(Datos!$G24&gt;0,Datos!$G24-Datos!$E24+1 &amp; " " &amp; Idiomas!$A$29,"")</f>
        <v>5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222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7</v>
      </c>
      <c r="B25" s="95" t="s">
        <v>6</v>
      </c>
      <c r="C25" s="106" t="s">
        <v>268</v>
      </c>
      <c r="D25" s="95" t="s">
        <v>269</v>
      </c>
      <c r="E25" s="111" t="s">
        <v>293</v>
      </c>
      <c r="F25" s="111" t="s">
        <v>294</v>
      </c>
      <c r="G25" s="111" t="s">
        <v>294</v>
      </c>
      <c r="H25" s="45" t="str">
        <f>IF(Datos!$G25&gt;0,Datos!$G25-Datos!$E25+1 &amp; " " &amp; Idiomas!$A$29,"")</f>
        <v>5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220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7</v>
      </c>
      <c r="B26" s="92" t="s">
        <v>6</v>
      </c>
      <c r="C26" s="109" t="s">
        <v>270</v>
      </c>
      <c r="D26" s="92" t="s">
        <v>271</v>
      </c>
      <c r="E26" s="110" t="s">
        <v>293</v>
      </c>
      <c r="F26" s="110" t="s">
        <v>294</v>
      </c>
      <c r="G26" s="110" t="s">
        <v>294</v>
      </c>
      <c r="H26" s="43" t="str">
        <f>IF(Datos!$G26&gt;0,Datos!$G26-Datos!$E26+1 &amp; " " &amp; Idiomas!$A$29,"")</f>
        <v>5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221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7</v>
      </c>
      <c r="B27" s="95" t="s">
        <v>6</v>
      </c>
      <c r="C27" s="106" t="s">
        <v>272</v>
      </c>
      <c r="D27" s="95" t="s">
        <v>273</v>
      </c>
      <c r="E27" s="111" t="s">
        <v>293</v>
      </c>
      <c r="F27" s="111" t="s">
        <v>294</v>
      </c>
      <c r="G27" s="111" t="s">
        <v>294</v>
      </c>
      <c r="H27" s="45" t="str">
        <f>IF(Datos!$G27&gt;0,Datos!$G27-Datos!$E27+1 &amp; " " &amp; Idiomas!$A$29,"")</f>
        <v>5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7</v>
      </c>
      <c r="B28" s="92" t="s">
        <v>3</v>
      </c>
      <c r="C28" s="109" t="s">
        <v>274</v>
      </c>
      <c r="D28" s="92" t="s">
        <v>275</v>
      </c>
      <c r="E28" s="110" t="s">
        <v>293</v>
      </c>
      <c r="F28" s="110" t="s">
        <v>295</v>
      </c>
      <c r="G28" s="110" t="s">
        <v>295</v>
      </c>
      <c r="H28" s="43" t="str">
        <f>IF(Datos!$G28&gt;0,Datos!$G28-Datos!$E28+1 &amp; " " &amp; Idiomas!$A$29,"")</f>
        <v>3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222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9</v>
      </c>
      <c r="B29" s="95" t="s">
        <v>6</v>
      </c>
      <c r="C29" s="106" t="s">
        <v>276</v>
      </c>
      <c r="D29" s="95" t="s">
        <v>277</v>
      </c>
      <c r="E29" s="111" t="s">
        <v>294</v>
      </c>
      <c r="F29" s="111" t="s">
        <v>294</v>
      </c>
      <c r="G29" s="111" t="s">
        <v>294</v>
      </c>
      <c r="H29" s="45" t="str">
        <f>IF(Datos!$G29&gt;0,Datos!$G29-Datos!$E29+1 &amp; " " &amp; Idiomas!$A$29,"")</f>
        <v>1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218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9</v>
      </c>
      <c r="B30" s="92" t="s">
        <v>6</v>
      </c>
      <c r="C30" s="109" t="s">
        <v>278</v>
      </c>
      <c r="D30" s="92" t="s">
        <v>279</v>
      </c>
      <c r="E30" s="110" t="s">
        <v>294</v>
      </c>
      <c r="F30" s="110" t="s">
        <v>294</v>
      </c>
      <c r="G30" s="110" t="s">
        <v>294</v>
      </c>
      <c r="H30" s="43" t="str">
        <f>IF(Datos!$G30&gt;0,Datos!$G30-Datos!$E30+1 &amp; " " &amp; Idiomas!$A$29,"")</f>
        <v>1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223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19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6" zoomScale="150" zoomScaleNormal="150" workbookViewId="0">
      <selection activeCell="F20" sqref="F20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219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220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222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223</v>
      </c>
      <c r="H13" s="79" t="str">
        <f>Idiomas!$A$16</f>
        <v>Final</v>
      </c>
      <c r="I13" s="86">
        <v>5</v>
      </c>
    </row>
    <row r="14" spans="2:9" x14ac:dyDescent="0.3">
      <c r="B14" s="76"/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R-195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R-195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R195:R202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R-186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R-186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R186:R193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R-177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R-177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R177:R184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R-168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R-168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R168:R175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R-159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R-159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R159:R166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R-150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R-150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R150:R157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R-141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R-141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R141:R148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R-132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R-132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R132:R139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R-123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R-123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R123:R130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R-114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R-114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R114:R121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R-105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R-105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R105:R112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R-96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R-96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R96:R103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R-87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R-87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R87:R94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R-78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R-78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R78:R85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R-69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R-69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R69:R76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R-60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R-60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R60:R67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R-51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R-51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R51:R58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R-42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R-42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R42:R49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R-33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R-33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R33:R40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R-24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R-24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R24:R31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R-15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R-15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R15:R22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R6:R13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2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>H-33</v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H-33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H33:H40</v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2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>H-24</v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H-24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H24:H31</v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2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>H-15</v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H-15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H15:H22</v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2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>H-6</v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H-6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H6:H13</v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1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>C-15</v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C-15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C15:C22</v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1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>C-6</v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C-6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C6:C13</v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29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27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23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29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27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23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29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27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23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29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27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23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29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27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23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29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27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23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29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27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23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29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27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23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29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27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23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>
        <f t="shared" ca="1" si="0"/>
        <v>28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1-1</v>
      </c>
      <c r="G12" s="19" t="str">
        <f ca="1"/>
        <v/>
      </c>
      <c r="H12" s="20">
        <f t="shared" ca="1" si="11"/>
        <v>2</v>
      </c>
      <c r="I12" s="20">
        <f t="shared" ca="1" si="1"/>
        <v>26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22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>
        <f t="shared" ca="1" si="0"/>
        <v>28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1-2</v>
      </c>
      <c r="G13" s="19" t="str">
        <f ca="1"/>
        <v/>
      </c>
      <c r="H13" s="20">
        <f t="shared" ca="1" si="11"/>
        <v>2</v>
      </c>
      <c r="I13" s="20">
        <f t="shared" ca="1" si="1"/>
        <v>26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22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>
        <f t="shared" ca="1" si="0"/>
        <v>28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1-3</v>
      </c>
      <c r="G14" s="19" t="str">
        <f ca="1"/>
        <v/>
      </c>
      <c r="H14" s="20">
        <f t="shared" ca="1" si="11"/>
        <v>2</v>
      </c>
      <c r="I14" s="20">
        <f t="shared" ca="1" si="1"/>
        <v>26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22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>
        <f t="shared" ca="1" si="0"/>
        <v>28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1-4</v>
      </c>
      <c r="G15" s="19" t="str">
        <f ca="1"/>
        <v/>
      </c>
      <c r="H15" s="20">
        <f t="shared" ca="1" si="11"/>
        <v>2</v>
      </c>
      <c r="I15" s="20">
        <f t="shared" ca="1" si="1"/>
        <v>26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22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>
        <f t="shared" ca="1" si="0"/>
        <v>28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1-5</v>
      </c>
      <c r="G16" s="19" t="str">
        <f ca="1"/>
        <v/>
      </c>
      <c r="H16" s="20">
        <f t="shared" ca="1" si="11"/>
        <v>2</v>
      </c>
      <c r="I16" s="20">
        <f t="shared" ca="1" si="1"/>
        <v>26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22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>
        <f t="shared" ca="1" si="0"/>
        <v>28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1-6</v>
      </c>
      <c r="G17" s="19" t="str">
        <f ca="1"/>
        <v/>
      </c>
      <c r="H17" s="20">
        <f t="shared" ca="1" si="11"/>
        <v>2</v>
      </c>
      <c r="I17" s="20">
        <f t="shared" ca="1" si="1"/>
        <v>26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22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>
        <f t="shared" ca="1" si="0"/>
        <v>28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1-7</v>
      </c>
      <c r="G18" s="19" t="str">
        <f ca="1"/>
        <v/>
      </c>
      <c r="H18" s="20">
        <f t="shared" ca="1" si="11"/>
        <v>2</v>
      </c>
      <c r="I18" s="20">
        <f t="shared" ca="1" si="1"/>
        <v>26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22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>
        <f t="shared" ca="1" si="0"/>
        <v>28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1-8</v>
      </c>
      <c r="G19" s="19" t="str">
        <f ca="1"/>
        <v/>
      </c>
      <c r="H19" s="20">
        <f t="shared" ca="1" si="11"/>
        <v>2</v>
      </c>
      <c r="I19" s="20">
        <f t="shared" ca="1" si="1"/>
        <v>26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22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>
        <f t="shared" ca="1" si="0"/>
        <v>28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26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22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25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1-1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21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25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1-2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21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25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1-3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21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25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1-4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21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>
        <f ca="1"/>
        <v>24</v>
      </c>
      <c r="H25" s="20">
        <f t="shared" ca="1" si="11"/>
        <v>3</v>
      </c>
      <c r="I25" s="20">
        <f t="shared" ca="1" si="1"/>
        <v>25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1-5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21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>
        <f ca="1"/>
        <v>25</v>
      </c>
      <c r="H26" s="20">
        <f t="shared" ca="1" si="11"/>
        <v>3</v>
      </c>
      <c r="I26" s="20">
        <f t="shared" ca="1" si="1"/>
        <v>25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1-6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21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>
        <f ca="1"/>
        <v>26</v>
      </c>
      <c r="H27" s="20">
        <f t="shared" ca="1" si="11"/>
        <v>3</v>
      </c>
      <c r="I27" s="20">
        <f t="shared" ca="1" si="1"/>
        <v>25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1-7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21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>
        <f ca="1"/>
        <v>27</v>
      </c>
      <c r="H28" s="20">
        <f t="shared" ca="1" si="11"/>
        <v>3</v>
      </c>
      <c r="I28" s="20">
        <f t="shared" ca="1" si="1"/>
        <v>25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1-8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21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>
        <f ca="1"/>
        <v>28</v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25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21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>
        <f ca="1"/>
        <v>29</v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24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1-1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20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24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1-2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20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24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1-3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20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>
        <f t="shared" ca="1" si="1"/>
        <v>24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1-4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20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>
        <f t="shared" ca="1" si="1"/>
        <v>24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1-5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20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24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1-6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20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24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1-7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20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24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1-8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20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24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20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19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19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19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19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19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19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19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19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19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5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18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5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18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5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18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5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18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5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18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5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18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5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18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5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18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5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18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5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5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5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5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5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5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5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5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5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5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16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5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16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5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16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5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16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5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16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5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16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5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16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5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16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5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16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5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15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5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15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5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15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5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15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5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15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5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15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5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15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5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15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5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15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5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14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5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14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5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14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5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14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5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14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5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14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5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14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5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14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5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14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5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13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5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13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5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13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5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13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5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13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5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13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5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13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5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13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5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13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5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12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5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12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5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12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5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12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5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12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5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12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5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12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5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12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5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12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5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11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5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11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5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11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5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11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5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11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5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11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5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11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5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11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5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11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5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10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5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10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5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10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5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10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5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10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5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10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5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10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5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10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5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10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5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9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5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9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5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9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5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9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5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9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5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9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5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9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5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9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5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9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5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8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5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8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5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8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5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8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5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8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5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8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5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8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5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8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5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8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5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7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5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7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5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7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5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7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5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7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5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7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5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7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5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7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5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7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5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6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5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6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5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6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5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6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5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6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5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6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5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6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5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6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5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6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5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5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5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5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5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5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5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5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5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5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5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5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5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5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5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5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5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5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5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4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5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4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5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4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5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4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5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4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5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4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5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4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5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4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5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4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5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3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5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3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5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3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5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3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5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3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5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3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5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3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5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3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5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3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5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2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5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2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5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2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5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2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5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2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5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2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5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2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Leo Bolaños</cp:lastModifiedBy>
  <cp:revision>0</cp:revision>
  <dcterms:created xsi:type="dcterms:W3CDTF">2022-12-26T11:27:14Z</dcterms:created>
  <dcterms:modified xsi:type="dcterms:W3CDTF">2026-06-12T16:32:57Z</dcterms:modified>
  <cp:category/>
  <cp:contentStatus/>
</cp:coreProperties>
</file>