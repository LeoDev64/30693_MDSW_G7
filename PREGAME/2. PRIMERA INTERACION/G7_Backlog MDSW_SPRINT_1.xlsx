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marti\OneDrive\Desktop\"/>
    </mc:Choice>
  </mc:AlternateContent>
  <xr:revisionPtr revIDLastSave="0" documentId="8_{5D288AB0-CAF9-419E-B30F-E847D1DE9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Sprint1-2-3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3" l="1"/>
  <c r="H24" i="3"/>
  <c r="I24" i="3" s="1"/>
  <c r="G24" i="3"/>
  <c r="F24" i="3"/>
  <c r="E24" i="3"/>
  <c r="D24" i="3"/>
  <c r="J23" i="3"/>
  <c r="I23" i="3"/>
  <c r="H23" i="3"/>
  <c r="G23" i="3"/>
  <c r="F23" i="3"/>
  <c r="E23" i="3"/>
  <c r="D23" i="3"/>
  <c r="C23" i="3"/>
  <c r="C24" i="3"/>
</calcChain>
</file>

<file path=xl/sharedStrings.xml><?xml version="1.0" encoding="utf-8"?>
<sst xmlns="http://schemas.openxmlformats.org/spreadsheetml/2006/main" count="151" uniqueCount="77">
  <si>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</si>
  <si>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</si>
  <si>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</si>
  <si>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</si>
  <si>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</si>
  <si>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</si>
  <si>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</si>
  <si>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</si>
  <si>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</si>
  <si>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Control de acceso al sistema</t>
  </si>
  <si>
    <t>Administrador</t>
  </si>
  <si>
    <t>Autenticar el ingreso mediante usuario y contraseña</t>
  </si>
  <si>
    <t>Restringir el ingreso y proteger la información confidencial de ventas y servicios</t>
  </si>
  <si>
    <t>-</t>
  </si>
  <si>
    <t>Alta</t>
  </si>
  <si>
    <t>En proceso</t>
  </si>
  <si>
    <t>REQ002</t>
  </si>
  <si>
    <t>Venta de Productos (Tienda)</t>
  </si>
  <si>
    <t>Registrar productos con nombre y precio fijo</t>
  </si>
  <si>
    <t>Agilizar el cobro y mantener un control claro sobre las ventas de mostrador</t>
  </si>
  <si>
    <t>REQ003</t>
  </si>
  <si>
    <t>Registro de datos</t>
  </si>
  <si>
    <t>Guardar los datos de los usuarios</t>
  </si>
  <si>
    <t>Gestionar la informacion del usuario para dar seguimiento en el proceso</t>
  </si>
  <si>
    <t>REQ004</t>
  </si>
  <si>
    <t>REQ005</t>
  </si>
  <si>
    <t>REQ006</t>
  </si>
  <si>
    <t>Necesito</t>
  </si>
  <si>
    <t>así podre...</t>
  </si>
  <si>
    <t>Prioridad</t>
  </si>
  <si>
    <t>Status</t>
  </si>
  <si>
    <t xml:space="preserve">Control de acceso al sistema	</t>
  </si>
  <si>
    <t>Tareas</t>
  </si>
  <si>
    <t>Asignado</t>
  </si>
  <si>
    <t>Estimado</t>
  </si>
  <si>
    <t>REQ001-1</t>
  </si>
  <si>
    <t>Diseñar la interfaz gráfica (UI) de autenticación</t>
  </si>
  <si>
    <t>Martin Palacios</t>
  </si>
  <si>
    <t>REQ001-2</t>
  </si>
  <si>
    <t xml:space="preserve"> Implementar el controlador de eventos y autenticación</t>
  </si>
  <si>
    <t>REQ001-3</t>
  </si>
  <si>
    <t>Validar credenciales contra el modelo de datos</t>
  </si>
  <si>
    <t>REQ002-1</t>
  </si>
  <si>
    <t xml:space="preserve"> Maquetar la interfaz de catálogo y resumen de venta</t>
  </si>
  <si>
    <t>Leopoldo Bolaños</t>
  </si>
  <si>
    <t>REQ002-2</t>
  </si>
  <si>
    <t>Desarrollar el mapeo dinámico de eventos de compra</t>
  </si>
  <si>
    <t>REQ002-3</t>
  </si>
  <si>
    <t>Gestionar el inventario en memoria y cálculo de totales</t>
  </si>
  <si>
    <t>REQ003-1</t>
  </si>
  <si>
    <t>Diseñar el panel de formulario de clientes</t>
  </si>
  <si>
    <t>Matias Medina</t>
  </si>
  <si>
    <t>REQ003-2</t>
  </si>
  <si>
    <t>Programar las validaciones de datos con expresiones regulares</t>
  </si>
  <si>
    <t>REQ003-3</t>
  </si>
  <si>
    <t>Implementar almacenamiento simulado de registros</t>
  </si>
  <si>
    <t>REQ004-1</t>
  </si>
  <si>
    <t>REQ004-2</t>
  </si>
  <si>
    <t>REQ004-3</t>
  </si>
  <si>
    <t>REQ005-1</t>
  </si>
  <si>
    <t>REQ005-2</t>
  </si>
  <si>
    <t>REQ005-3</t>
  </si>
  <si>
    <t>REQ006-1</t>
  </si>
  <si>
    <t>REQ006-2</t>
  </si>
  <si>
    <t>REQ006-3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</si>
  <si>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</si>
  <si>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</si>
  <si>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</si>
  <si>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</si>
  <si>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</si>
  <si>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</si>
  <si>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</si>
  <si>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</si>
  <si>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</si>
  <si>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</si>
  <si>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Terminado</t>
  </si>
  <si>
    <t xml:space="preserve">REQ001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</si>
</sst>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rgb="FF000000"/>
      <name val="Inconsolata"/>
      <charset val="134"/>
    </font>
    <font>
      <sz val="12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</font>
    <font>
      <sz val="10"/>
      <color theme="4"/>
      <name val="Arial"/>
      <charset val="134"/>
    </font>
    <font>
      <sz val="10"/>
      <name val="Arial"/>
      <charset val="134"/>
      <scheme val="minor"/>
    </font>
    <font>
      <u/>
      <sz val="10"/>
      <color rgb="FF000000"/>
      <name val="Arial"/>
      <charset val="134"/>
      <scheme val="minor"/>
    </font>
    <font>
      <sz val="10"/>
      <color rgb="FF4472C4"/>
      <name val="Arial"/>
      <charset val="134"/>
    </font>
    <font>
      <sz val="10"/>
      <color rgb="FF000000"/>
      <name val="Arial"/>
      <charset val="134"/>
    </font>
    <font>
      <sz val="10"/>
      <color theme="4"/>
      <name val="Arial"/>
      <charset val="134"/>
      <scheme val="minor"/>
    </font>
    <font>
      <sz val="8"/>
      <name val="Arial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4" borderId="1" xfId="0" applyFont="1" applyFill="1" applyBorder="1"/>
    <xf numFmtId="0" fontId="1" fillId="0" borderId="1" xfId="0" applyFont="1" applyBorder="1"/>
    <xf numFmtId="0" fontId="2" fillId="5" borderId="1" xfId="0" applyFont="1" applyFill="1" applyBorder="1"/>
    <xf numFmtId="0" fontId="4" fillId="0" borderId="0" xfId="0" applyFont="1" applyAlignment="1">
      <alignment horizontal="center"/>
    </xf>
    <xf numFmtId="0" fontId="1" fillId="6" borderId="0" xfId="0" applyFont="1" applyFill="1"/>
    <xf numFmtId="0" fontId="5" fillId="6" borderId="0" xfId="0" applyFont="1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vertical="top"/>
    </xf>
    <xf numFmtId="0" fontId="8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2" xfId="0" applyFont="1" applyBorder="1"/>
    <xf numFmtId="0" fontId="9" fillId="0" borderId="2" xfId="0" applyFont="1" applyBorder="1"/>
    <xf numFmtId="0" fontId="6" fillId="0" borderId="3" xfId="0" applyFont="1" applyBorder="1"/>
    <xf numFmtId="0" fontId="9" fillId="0" borderId="4" xfId="0" applyFont="1" applyBorder="1"/>
    <xf numFmtId="0" fontId="10" fillId="0" borderId="5" xfId="0" applyFont="1" applyBorder="1"/>
    <xf numFmtId="0" fontId="6" fillId="0" borderId="6" xfId="0" applyFont="1" applyBorder="1"/>
    <xf numFmtId="0" fontId="6" fillId="0" borderId="4" xfId="0" applyFont="1" applyBorder="1"/>
    <xf numFmtId="0" fontId="11" fillId="0" borderId="7" xfId="0" applyFont="1" applyBorder="1"/>
    <xf numFmtId="0" fontId="6" fillId="0" borderId="8" xfId="0" applyFont="1" applyBorder="1"/>
    <xf numFmtId="0" fontId="10" fillId="0" borderId="9" xfId="0" applyFont="1" applyBorder="1"/>
    <xf numFmtId="0" fontId="6" fillId="0" borderId="7" xfId="0" applyFont="1" applyBorder="1"/>
    <xf numFmtId="0" fontId="10" fillId="0" borderId="2" xfId="0" applyFont="1" applyBorder="1"/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DA1F60B7-2FD6-4A0F-AF68-62FAAEE33ED0}">
      <tableStyleElement type="headerRow" dxfId="4"/>
      <tableStyleElement type="firstRowStripe" dxfId="3"/>
      <tableStyleElement type="secondRowStripe" dxfId="2"/>
    </tableStyle>
    <tableStyle name="burdonchart-style 2" pivot="0" count="2" xr9:uid="{F3277CEE-AED3-4759-96CA-3AB49AFBB966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"/>
          <c:y val="5.9575003594018003E-2"/>
          <c:w val="0.71638705161854799"/>
          <c:h val="0.86882300089847297"/>
        </c:manualLayout>
      </c:layout>
      <c:lineChart>
        <c:grouping val="standard"/>
        <c:varyColors val="1"/>
        <c:ser>
          <c:idx val="0"/>
          <c:order val="0"/>
          <c:spPr>
            <a:ln w="19050" cap="rnd" cmpd="sng" algn="ctr">
              <a:solidFill>
                <a:srgbClr val="3366CC"/>
              </a:solidFill>
              <a:prstDash val="solid"/>
              <a:round/>
            </a:ln>
          </c:spPr>
          <c:marker>
            <c:symbol val="none"/>
          </c:marker>
          <c:val>
            <c:numRef>
              <c:f>burdonchart!$B$23:$J$23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19</c:v>
                </c:pt>
                <c:pt idx="3">
                  <c:v>15</c:v>
                </c:pt>
                <c:pt idx="4">
                  <c:v>12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B-4C62-95FF-29D8B23D8231}"/>
            </c:ext>
          </c:extLst>
        </c:ser>
        <c:ser>
          <c:idx val="1"/>
          <c:order val="1"/>
          <c:spPr>
            <a:ln w="19050" cap="rnd" cmpd="sng" algn="ctr">
              <a:solidFill>
                <a:srgbClr val="DC3912"/>
              </a:solidFill>
              <a:prstDash val="solid"/>
              <a:round/>
            </a:ln>
          </c:spPr>
          <c:marker>
            <c:symbol val="none"/>
          </c:marker>
          <c:val>
            <c:numRef>
              <c:f>burdonchart!$B$24:$J$24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20.571428571428573</c:v>
                </c:pt>
                <c:pt idx="3">
                  <c:v>17.142857142857146</c:v>
                </c:pt>
                <c:pt idx="4">
                  <c:v>13.714285714285717</c:v>
                </c:pt>
                <c:pt idx="5">
                  <c:v>10.285714285714288</c:v>
                </c:pt>
                <c:pt idx="6">
                  <c:v>6.8571428571428594</c:v>
                </c:pt>
                <c:pt idx="7">
                  <c:v>3.428571428571431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B-4C62-95FF-29D8B23D8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Roboto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Roboto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rgbClr val="000000"/>
              </a:solidFill>
              <a:latin typeface="Roboto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018a5ee8-d0e9-4f74-8a01-4710a641066c}"/>
      </c:ext>
    </c:extLst>
  </c:chart>
  <c:txPr>
    <a:bodyPr/>
    <a:lstStyle/>
    <a:p>
      <a:pPr>
        <a:defRPr lang="es-ES"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26</xdr:row>
      <xdr:rowOff>0</xdr:rowOff>
    </xdr:from>
    <xdr:ext cx="8056558" cy="4937695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EBD643AD-5826-4B80-AFFE-E2306F685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abSelected="1" zoomScale="70" zoomScaleNormal="70" workbookViewId="0">
      <selection activeCell="A5" sqref="A5:I11"/>
    </sheetView>
  </sheetViews>
  <sheetFormatPr defaultColWidth="12.5546875" defaultRowHeight="15" customHeight="1"/>
  <cols>
    <col min="1" max="1" width="12.5546875" customWidth="1"/>
    <col min="2" max="2" width="34.88671875" customWidth="1"/>
    <col min="3" max="3" width="16.88671875" customWidth="1"/>
    <col min="4" max="4" width="111.6640625" bestFit="1" customWidth="1"/>
    <col min="5" max="5" width="92.5546875" customWidth="1"/>
    <col min="6" max="6" width="12.5546875" customWidth="1"/>
  </cols>
  <sheetData>
    <row r="1" spans="1:8" ht="15.7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16" t="s">
        <v>7</v>
      </c>
    </row>
    <row r="2" spans="1:8" ht="15.75" customHeight="1">
      <c r="A2" s="18" t="s">
        <v>8</v>
      </c>
      <c r="B2" s="19" t="s">
        <v>9</v>
      </c>
      <c r="C2" s="19" t="s">
        <v>10</v>
      </c>
      <c r="D2" s="20" t="s">
        <v>11</v>
      </c>
      <c r="E2" s="21" t="s">
        <v>12</v>
      </c>
      <c r="F2" s="22" t="s">
        <v>13</v>
      </c>
      <c r="G2" s="23" t="s">
        <v>14</v>
      </c>
      <c r="H2" s="18" t="s">
        <v>75</v>
      </c>
    </row>
    <row r="3" spans="1:8" ht="15.75" customHeight="1">
      <c r="A3" s="24" t="s">
        <v>16</v>
      </c>
      <c r="B3" s="25" t="s">
        <v>17</v>
      </c>
      <c r="C3" s="26" t="s">
        <v>10</v>
      </c>
      <c r="D3" s="25" t="s">
        <v>18</v>
      </c>
      <c r="E3" s="25" t="s">
        <v>19</v>
      </c>
      <c r="F3" s="27" t="s">
        <v>13</v>
      </c>
      <c r="G3" s="28" t="s">
        <v>14</v>
      </c>
      <c r="H3" s="18" t="s">
        <v>75</v>
      </c>
    </row>
    <row r="4" spans="1:8" ht="15.75" customHeight="1">
      <c r="A4" s="18" t="s">
        <v>20</v>
      </c>
      <c r="B4" s="18" t="s">
        <v>21</v>
      </c>
      <c r="C4" s="18" t="s">
        <v>10</v>
      </c>
      <c r="D4" s="18" t="s">
        <v>22</v>
      </c>
      <c r="E4" s="18" t="s">
        <v>23</v>
      </c>
      <c r="F4" s="29" t="s">
        <v>13</v>
      </c>
      <c r="G4" s="18" t="s">
        <v>14</v>
      </c>
      <c r="H4" s="18" t="s">
        <v>75</v>
      </c>
    </row>
    <row r="5" spans="1:8" ht="15.75" customHeight="1"/>
    <row r="6" spans="1:8" ht="15.75" customHeight="1"/>
    <row r="7" spans="1:8" ht="15.75" customHeight="1"/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K960"/>
  <sheetViews>
    <sheetView zoomScale="80" zoomScaleNormal="80" workbookViewId="0">
      <selection activeCell="B5" sqref="B5"/>
    </sheetView>
  </sheetViews>
  <sheetFormatPr defaultColWidth="12.5546875" defaultRowHeight="15" customHeight="1"/>
  <cols>
    <col min="1" max="2" width="12.5546875" customWidth="1"/>
    <col min="3" max="3" width="26.21875" customWidth="1"/>
    <col min="4" max="4" width="20.44140625" customWidth="1"/>
    <col min="5" max="5" width="81.88671875" customWidth="1"/>
    <col min="6" max="6" width="56.109375" customWidth="1"/>
    <col min="7" max="7" width="29" customWidth="1"/>
  </cols>
  <sheetData>
    <row r="1" spans="2:11" ht="15.75" customHeight="1"/>
    <row r="2" spans="2:11" ht="15.75" customHeight="1"/>
    <row r="3" spans="2:11" ht="15.75" customHeight="1">
      <c r="B3" s="7" t="s">
        <v>0</v>
      </c>
      <c r="C3" s="7" t="s">
        <v>1</v>
      </c>
      <c r="D3" s="7" t="s">
        <v>2</v>
      </c>
      <c r="E3" s="7" t="s">
        <v>27</v>
      </c>
      <c r="F3" s="7" t="s">
        <v>28</v>
      </c>
      <c r="G3" s="7" t="s">
        <v>5</v>
      </c>
      <c r="H3" s="7" t="s">
        <v>29</v>
      </c>
      <c r="I3" s="7" t="s">
        <v>30</v>
      </c>
    </row>
    <row r="4" spans="2:11" ht="15.75" customHeight="1">
      <c r="B4" s="8" t="s">
        <v>76</v>
      </c>
      <c r="C4" s="8" t="s">
        <v>31</v>
      </c>
      <c r="D4" s="8" t="s">
        <v>10</v>
      </c>
      <c r="E4" s="9" t="s">
        <v>11</v>
      </c>
      <c r="F4" s="8" t="s">
        <v>12</v>
      </c>
      <c r="G4" s="8" t="s">
        <v>13</v>
      </c>
      <c r="H4" s="8" t="s">
        <v>14</v>
      </c>
      <c r="I4" s="8" t="s">
        <v>15</v>
      </c>
    </row>
    <row r="5" spans="2:11" ht="15.75" customHeight="1">
      <c r="B5" s="1"/>
      <c r="C5" s="10" t="s">
        <v>32</v>
      </c>
      <c r="D5" s="1"/>
      <c r="E5" s="1"/>
      <c r="F5" s="1"/>
      <c r="G5" s="10" t="s">
        <v>33</v>
      </c>
      <c r="H5" s="1"/>
      <c r="I5" s="10" t="s">
        <v>34</v>
      </c>
    </row>
    <row r="6" spans="2:11" ht="15.75" customHeight="1">
      <c r="B6" s="11" t="s">
        <v>35</v>
      </c>
      <c r="C6" s="30" t="s">
        <v>36</v>
      </c>
      <c r="D6" s="31"/>
      <c r="E6" s="31"/>
      <c r="F6" s="31"/>
      <c r="G6" s="1" t="s">
        <v>37</v>
      </c>
      <c r="H6" s="1"/>
      <c r="I6" s="13">
        <v>2</v>
      </c>
    </row>
    <row r="7" spans="2:11" ht="15.75" customHeight="1">
      <c r="B7" s="11" t="s">
        <v>38</v>
      </c>
      <c r="C7" s="30" t="s">
        <v>39</v>
      </c>
      <c r="D7" s="31"/>
      <c r="E7" s="31"/>
      <c r="F7" s="31"/>
      <c r="G7" s="1" t="s">
        <v>37</v>
      </c>
      <c r="H7" s="1"/>
      <c r="I7" s="13">
        <v>1</v>
      </c>
    </row>
    <row r="8" spans="2:11" ht="15.75" customHeight="1">
      <c r="B8" s="11" t="s">
        <v>40</v>
      </c>
      <c r="C8" s="30" t="s">
        <v>41</v>
      </c>
      <c r="D8" s="31"/>
      <c r="E8" s="31"/>
      <c r="F8" s="31"/>
      <c r="G8" s="1" t="s">
        <v>37</v>
      </c>
      <c r="H8" s="1"/>
      <c r="I8" s="11">
        <v>1</v>
      </c>
    </row>
    <row r="9" spans="2:11" ht="15.75" customHeight="1">
      <c r="B9" s="14"/>
      <c r="C9" s="32"/>
      <c r="D9" s="32"/>
      <c r="E9" s="32"/>
      <c r="F9" s="32"/>
      <c r="G9" s="1"/>
      <c r="H9" s="7"/>
      <c r="I9" s="13"/>
    </row>
    <row r="10" spans="2:11" ht="15.75" customHeight="1">
      <c r="B10" s="11"/>
      <c r="C10" s="11"/>
      <c r="D10" s="11"/>
      <c r="E10" s="11"/>
      <c r="F10" s="11"/>
      <c r="G10" s="11"/>
      <c r="H10" s="11"/>
      <c r="I10" s="11"/>
    </row>
    <row r="11" spans="2:11" ht="15.75" customHeight="1">
      <c r="B11" s="7" t="s">
        <v>0</v>
      </c>
      <c r="C11" s="7" t="s">
        <v>1</v>
      </c>
      <c r="D11" s="7" t="s">
        <v>2</v>
      </c>
      <c r="E11" s="7" t="s">
        <v>27</v>
      </c>
      <c r="F11" s="7" t="s">
        <v>28</v>
      </c>
      <c r="G11" s="7" t="s">
        <v>5</v>
      </c>
      <c r="H11" s="7" t="s">
        <v>29</v>
      </c>
      <c r="I11" s="7" t="s">
        <v>30</v>
      </c>
    </row>
    <row r="12" spans="2:11" ht="15.75" customHeight="1">
      <c r="B12" s="8" t="s">
        <v>16</v>
      </c>
      <c r="C12" s="8" t="s">
        <v>17</v>
      </c>
      <c r="D12" s="8" t="s">
        <v>10</v>
      </c>
      <c r="E12" s="9" t="s">
        <v>18</v>
      </c>
      <c r="F12" s="8" t="s">
        <v>19</v>
      </c>
      <c r="G12" s="8" t="s">
        <v>13</v>
      </c>
      <c r="H12" s="8" t="s">
        <v>14</v>
      </c>
      <c r="I12" s="8" t="s">
        <v>15</v>
      </c>
    </row>
    <row r="13" spans="2:11" ht="15.75" customHeight="1">
      <c r="B13" s="1"/>
      <c r="C13" s="10" t="s">
        <v>32</v>
      </c>
      <c r="D13" s="1"/>
      <c r="E13" s="1"/>
      <c r="F13" s="1"/>
      <c r="G13" s="10" t="s">
        <v>33</v>
      </c>
      <c r="H13" s="1"/>
      <c r="I13" s="10" t="s">
        <v>34</v>
      </c>
    </row>
    <row r="14" spans="2:11" ht="15.75" customHeight="1">
      <c r="B14" s="11" t="s">
        <v>42</v>
      </c>
      <c r="C14" s="30" t="s">
        <v>43</v>
      </c>
      <c r="D14" s="31"/>
      <c r="E14" s="31"/>
      <c r="F14" s="31"/>
      <c r="G14" s="1" t="s">
        <v>44</v>
      </c>
      <c r="H14" s="1"/>
      <c r="I14" s="13">
        <v>2</v>
      </c>
    </row>
    <row r="15" spans="2:11" ht="15.75" customHeight="1">
      <c r="B15" s="11" t="s">
        <v>45</v>
      </c>
      <c r="C15" s="30" t="s">
        <v>46</v>
      </c>
      <c r="D15" s="31"/>
      <c r="E15" s="31"/>
      <c r="F15" s="31"/>
      <c r="G15" s="1" t="s">
        <v>44</v>
      </c>
      <c r="H15" s="1"/>
      <c r="I15" s="13">
        <v>1</v>
      </c>
      <c r="K15" s="15"/>
    </row>
    <row r="16" spans="2:11" ht="15.75" customHeight="1">
      <c r="B16" s="11" t="s">
        <v>47</v>
      </c>
      <c r="C16" t="s">
        <v>48</v>
      </c>
      <c r="D16" s="12"/>
      <c r="E16" s="12"/>
      <c r="F16" s="12"/>
      <c r="G16" s="1" t="s">
        <v>44</v>
      </c>
      <c r="H16" s="1"/>
      <c r="I16" s="11">
        <v>1</v>
      </c>
    </row>
    <row r="17" spans="2:9" ht="15.75" customHeight="1"/>
    <row r="18" spans="2:9" ht="15.75" customHeight="1"/>
    <row r="19" spans="2:9" ht="15.75" customHeight="1">
      <c r="B19" s="7" t="s">
        <v>0</v>
      </c>
      <c r="C19" s="7" t="s">
        <v>1</v>
      </c>
      <c r="D19" s="7" t="s">
        <v>2</v>
      </c>
      <c r="E19" s="7" t="s">
        <v>27</v>
      </c>
      <c r="F19" s="7" t="s">
        <v>28</v>
      </c>
      <c r="G19" s="7" t="s">
        <v>5</v>
      </c>
      <c r="H19" s="7" t="s">
        <v>29</v>
      </c>
      <c r="I19" s="7" t="s">
        <v>30</v>
      </c>
    </row>
    <row r="20" spans="2:9" ht="15.75" customHeight="1">
      <c r="B20" s="8" t="s">
        <v>20</v>
      </c>
      <c r="C20" s="8" t="s">
        <v>21</v>
      </c>
      <c r="D20" s="8" t="s">
        <v>10</v>
      </c>
      <c r="E20" s="9" t="s">
        <v>22</v>
      </c>
      <c r="F20" s="8" t="s">
        <v>23</v>
      </c>
      <c r="G20" s="8" t="s">
        <v>13</v>
      </c>
      <c r="H20" s="8" t="s">
        <v>14</v>
      </c>
      <c r="I20" s="8" t="s">
        <v>15</v>
      </c>
    </row>
    <row r="21" spans="2:9" ht="15.75" customHeight="1">
      <c r="B21" s="1"/>
      <c r="C21" s="10" t="s">
        <v>32</v>
      </c>
      <c r="D21" s="1"/>
      <c r="E21" s="1"/>
      <c r="F21" s="1"/>
      <c r="G21" s="10" t="s">
        <v>33</v>
      </c>
      <c r="H21" s="1"/>
      <c r="I21" s="10" t="s">
        <v>34</v>
      </c>
    </row>
    <row r="22" spans="2:9" ht="15.75" customHeight="1">
      <c r="B22" s="11" t="s">
        <v>49</v>
      </c>
      <c r="C22" s="30" t="s">
        <v>50</v>
      </c>
      <c r="D22" s="31"/>
      <c r="E22" s="31"/>
      <c r="F22" s="31"/>
      <c r="G22" s="1" t="s">
        <v>51</v>
      </c>
      <c r="H22" s="1"/>
      <c r="I22" s="13">
        <v>1</v>
      </c>
    </row>
    <row r="23" spans="2:9" ht="15.75" customHeight="1">
      <c r="B23" s="11" t="s">
        <v>52</v>
      </c>
      <c r="C23" s="30" t="s">
        <v>53</v>
      </c>
      <c r="D23" s="31"/>
      <c r="E23" s="31"/>
      <c r="F23" s="31"/>
      <c r="G23" s="1" t="s">
        <v>51</v>
      </c>
      <c r="H23" s="1"/>
      <c r="I23" s="13">
        <v>2</v>
      </c>
    </row>
    <row r="24" spans="2:9" ht="15.75" customHeight="1">
      <c r="B24" s="11" t="s">
        <v>54</v>
      </c>
      <c r="C24" s="30" t="s">
        <v>55</v>
      </c>
      <c r="D24" s="31"/>
      <c r="E24" s="31"/>
      <c r="F24" s="31"/>
      <c r="G24" s="1" t="s">
        <v>51</v>
      </c>
      <c r="H24" s="1"/>
      <c r="I24" s="11">
        <v>1</v>
      </c>
    </row>
    <row r="25" spans="2:9" ht="15.75" customHeight="1"/>
    <row r="26" spans="2:9" ht="15.75" customHeight="1"/>
    <row r="27" spans="2:9" ht="15.75" customHeight="1"/>
    <row r="28" spans="2:9" ht="15.75" customHeight="1"/>
    <row r="29" spans="2:9" ht="15.75" customHeight="1"/>
    <row r="30" spans="2:9" ht="15.75" customHeight="1"/>
    <row r="31" spans="2:9" ht="15.75" customHeight="1"/>
    <row r="32" spans="2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9">
    <mergeCell ref="C15:F15"/>
    <mergeCell ref="C22:F22"/>
    <mergeCell ref="C23:F23"/>
    <mergeCell ref="C24:F24"/>
    <mergeCell ref="C6:F6"/>
    <mergeCell ref="C7:F7"/>
    <mergeCell ref="C8:F8"/>
    <mergeCell ref="C9:F9"/>
    <mergeCell ref="C14:F14"/>
  </mergeCells>
  <phoneticPr fontId="1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6"/>
  <sheetViews>
    <sheetView workbookViewId="0">
      <selection activeCell="H53" sqref="H53"/>
    </sheetView>
  </sheetViews>
  <sheetFormatPr defaultColWidth="12.5546875" defaultRowHeight="15" customHeight="1"/>
  <cols>
    <col min="1" max="1" width="12.5546875" customWidth="1"/>
    <col min="2" max="2" width="24.6640625" customWidth="1"/>
    <col min="3" max="3" width="12.5546875" customWidth="1"/>
    <col min="4" max="4" width="11.109375" customWidth="1"/>
    <col min="5" max="8" width="12.5546875" customWidth="1"/>
  </cols>
  <sheetData>
    <row r="1" spans="1:11" ht="15.75" customHeight="1"/>
    <row r="2" spans="1:11" ht="15.75" customHeight="1"/>
    <row r="3" spans="1:11" ht="15.75" customHeight="1">
      <c r="B3" s="1"/>
      <c r="C3" s="1" t="s">
        <v>34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70</v>
      </c>
      <c r="J3" s="1" t="s">
        <v>71</v>
      </c>
      <c r="K3" s="1" t="s">
        <v>72</v>
      </c>
    </row>
    <row r="4" spans="1:11" ht="15.75" customHeight="1">
      <c r="A4" t="s">
        <v>8</v>
      </c>
      <c r="B4" t="s">
        <v>35</v>
      </c>
      <c r="C4" s="2">
        <v>2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 s="3">
        <v>2</v>
      </c>
    </row>
    <row r="5" spans="1:11" ht="15.75" customHeight="1">
      <c r="B5" t="s">
        <v>38</v>
      </c>
      <c r="C5" s="2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 s="3">
        <v>1</v>
      </c>
    </row>
    <row r="6" spans="1:11" ht="15.75" customHeight="1">
      <c r="A6" s="1"/>
      <c r="B6" t="s">
        <v>40</v>
      </c>
      <c r="C6" s="2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3">
        <v>1</v>
      </c>
    </row>
    <row r="7" spans="1:11" ht="15.75" customHeight="1">
      <c r="A7" t="s">
        <v>16</v>
      </c>
      <c r="B7" t="s">
        <v>42</v>
      </c>
      <c r="C7" s="2">
        <v>2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 s="3">
        <v>2</v>
      </c>
    </row>
    <row r="8" spans="1:11" ht="15.75" customHeight="1">
      <c r="A8" s="1"/>
      <c r="B8" t="s">
        <v>45</v>
      </c>
      <c r="C8" s="2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 s="3">
        <v>1</v>
      </c>
    </row>
    <row r="9" spans="1:11" ht="15.75" customHeight="1">
      <c r="A9" s="1"/>
      <c r="B9" t="s">
        <v>47</v>
      </c>
      <c r="C9" s="2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 s="3">
        <v>1</v>
      </c>
    </row>
    <row r="10" spans="1:11" ht="15.75" customHeight="1">
      <c r="A10" t="s">
        <v>20</v>
      </c>
      <c r="B10" t="s">
        <v>49</v>
      </c>
      <c r="C10" s="2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 s="3">
        <v>1</v>
      </c>
    </row>
    <row r="11" spans="1:11" ht="15.75" customHeight="1">
      <c r="A11" s="1"/>
      <c r="B11" t="s">
        <v>52</v>
      </c>
      <c r="C11" s="2">
        <v>2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 s="3">
        <v>2</v>
      </c>
    </row>
    <row r="12" spans="1:11" ht="15.75" customHeight="1">
      <c r="A12" s="1"/>
      <c r="B12" t="s">
        <v>54</v>
      </c>
      <c r="C12" s="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3">
        <v>1</v>
      </c>
    </row>
    <row r="13" spans="1:11" ht="15.75" customHeight="1">
      <c r="A13" t="s">
        <v>24</v>
      </c>
      <c r="B13" t="s">
        <v>56</v>
      </c>
      <c r="C13" s="2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 s="3">
        <v>1</v>
      </c>
    </row>
    <row r="14" spans="1:11" ht="15.75" customHeight="1">
      <c r="A14" s="1"/>
      <c r="B14" t="s">
        <v>57</v>
      </c>
      <c r="C14" s="2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 s="3">
        <v>1</v>
      </c>
    </row>
    <row r="15" spans="1:11" ht="15.75" customHeight="1">
      <c r="A15" s="1"/>
      <c r="B15" t="s">
        <v>58</v>
      </c>
      <c r="C15" s="2">
        <v>2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 s="3">
        <v>2</v>
      </c>
    </row>
    <row r="16" spans="1:11" ht="15.75" customHeight="1">
      <c r="A16" t="s">
        <v>25</v>
      </c>
      <c r="B16" t="s">
        <v>59</v>
      </c>
      <c r="C16" s="2">
        <v>2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 s="3">
        <v>2</v>
      </c>
    </row>
    <row r="17" spans="1:11" ht="15.75" customHeight="1">
      <c r="A17" s="1"/>
      <c r="B17" t="s">
        <v>60</v>
      </c>
      <c r="C17" s="2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 s="3">
        <v>1</v>
      </c>
    </row>
    <row r="18" spans="1:11" ht="15.75" customHeight="1">
      <c r="A18" s="1"/>
      <c r="B18" t="s">
        <v>61</v>
      </c>
      <c r="C18" s="2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 s="3">
        <v>1</v>
      </c>
    </row>
    <row r="19" spans="1:11" ht="15.75" customHeight="1">
      <c r="A19" t="s">
        <v>26</v>
      </c>
      <c r="B19" t="s">
        <v>62</v>
      </c>
      <c r="C19" s="2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3">
        <v>1</v>
      </c>
    </row>
    <row r="20" spans="1:11" ht="15.75" customHeight="1">
      <c r="A20" s="1"/>
      <c r="B20" t="s">
        <v>63</v>
      </c>
      <c r="C20" s="2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3">
        <v>1</v>
      </c>
    </row>
    <row r="21" spans="1:11" ht="15.75" customHeight="1">
      <c r="A21" s="1"/>
      <c r="B21" t="s">
        <v>64</v>
      </c>
      <c r="C21" s="2">
        <v>2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 s="3">
        <v>2</v>
      </c>
    </row>
    <row r="22" spans="1:11" ht="15.75" customHeight="1"/>
    <row r="23" spans="1:11" ht="15.75" customHeight="1">
      <c r="B23" s="4" t="s">
        <v>73</v>
      </c>
      <c r="C23" s="5">
        <f>SUM(C4:C21)</f>
        <v>24</v>
      </c>
      <c r="D23" s="5">
        <f t="shared" ref="D23:J23" si="0">C23-SUM(D4:D21)</f>
        <v>19</v>
      </c>
      <c r="E23" s="6">
        <f t="shared" si="0"/>
        <v>15</v>
      </c>
      <c r="F23" s="5">
        <f t="shared" si="0"/>
        <v>12</v>
      </c>
      <c r="G23" s="5">
        <f t="shared" si="0"/>
        <v>9</v>
      </c>
      <c r="H23" s="5">
        <f t="shared" si="0"/>
        <v>5</v>
      </c>
      <c r="I23" s="5">
        <f t="shared" si="0"/>
        <v>4</v>
      </c>
      <c r="J23" s="5">
        <f t="shared" si="0"/>
        <v>0</v>
      </c>
    </row>
    <row r="24" spans="1:11" ht="15.75" customHeight="1">
      <c r="B24" s="4" t="s">
        <v>74</v>
      </c>
      <c r="C24" s="5">
        <f>SUM(C4:C21)</f>
        <v>24</v>
      </c>
      <c r="D24" s="5">
        <f>C24-(SUM(C4:C21)/7)</f>
        <v>20.571428571428573</v>
      </c>
      <c r="E24" s="6">
        <f>D24-(SUM(C4:C21)/7)</f>
        <v>17.142857142857146</v>
      </c>
      <c r="F24" s="5">
        <f>E24-(SUM(C4:C21)/7)</f>
        <v>13.714285714285717</v>
      </c>
      <c r="G24" s="5">
        <f>F24-(SUM(C4:C21)/7)</f>
        <v>10.285714285714288</v>
      </c>
      <c r="H24" s="5">
        <f>G24-(SUM(C4:C21)/7)</f>
        <v>6.8571428571428594</v>
      </c>
      <c r="I24" s="5">
        <f>H24-(SUM(C4:C21)/7)</f>
        <v>3.428571428571431</v>
      </c>
      <c r="J24" s="5">
        <f>I24-(SUM(C4:C21)/7)</f>
        <v>0</v>
      </c>
    </row>
    <row r="25" spans="1:11" ht="15.75" customHeight="1"/>
    <row r="26" spans="1:11" ht="15.75" customHeight="1"/>
    <row r="27" spans="1:11" ht="15.75" customHeight="1">
      <c r="B27" s="33"/>
      <c r="C27" s="33"/>
      <c r="D27" s="33"/>
      <c r="E27" s="33"/>
    </row>
    <row r="28" spans="1:11" ht="15.75" customHeight="1">
      <c r="B28" s="33"/>
      <c r="C28" s="33"/>
      <c r="D28" s="33"/>
      <c r="E28" s="33"/>
    </row>
    <row r="29" spans="1:11" ht="15.75" customHeight="1">
      <c r="B29" s="33"/>
      <c r="C29" s="33"/>
      <c r="D29" s="33"/>
      <c r="E29" s="33"/>
    </row>
    <row r="30" spans="1:11" ht="15.75" customHeight="1">
      <c r="B30" s="33"/>
      <c r="C30" s="33"/>
      <c r="D30" s="33"/>
      <c r="E30" s="33"/>
    </row>
    <row r="31" spans="1:11" ht="15.75" customHeight="1">
      <c r="B31" s="33"/>
      <c r="C31" s="33"/>
      <c r="D31" s="33"/>
      <c r="E31" s="33"/>
    </row>
    <row r="32" spans="1:11" ht="15.75" customHeight="1">
      <c r="B32" s="33"/>
      <c r="C32" s="33"/>
      <c r="D32" s="33"/>
      <c r="E32" s="33"/>
    </row>
    <row r="33" spans="2:5" ht="15.75" customHeight="1">
      <c r="B33" s="33"/>
      <c r="C33" s="33"/>
      <c r="D33" s="33"/>
      <c r="E33" s="33"/>
    </row>
    <row r="34" spans="2:5" ht="15.75" customHeight="1">
      <c r="B34" s="33"/>
      <c r="C34" s="33"/>
      <c r="D34" s="33"/>
      <c r="E34" s="33"/>
    </row>
    <row r="35" spans="2:5" ht="15.75" customHeight="1">
      <c r="B35" s="33"/>
      <c r="C35" s="33"/>
      <c r="D35" s="33"/>
      <c r="E35" s="33"/>
    </row>
    <row r="36" spans="2:5" ht="15.75" customHeight="1">
      <c r="B36" s="33"/>
      <c r="C36" s="33"/>
      <c r="D36" s="33"/>
      <c r="E36" s="33"/>
    </row>
    <row r="37" spans="2:5" ht="15.75" customHeight="1">
      <c r="B37" s="33"/>
      <c r="C37" s="33"/>
      <c r="D37" s="33"/>
      <c r="E37" s="33"/>
    </row>
    <row r="38" spans="2:5" ht="15.75" customHeight="1"/>
    <row r="39" spans="2:5" ht="15.75" customHeight="1"/>
    <row r="40" spans="2:5" ht="15.75" customHeight="1"/>
    <row r="41" spans="2:5" ht="15.75" customHeight="1"/>
    <row r="42" spans="2:5" ht="15.75" customHeight="1"/>
    <row r="43" spans="2:5" ht="15.75" customHeight="1"/>
    <row r="44" spans="2:5" ht="15.75" customHeight="1"/>
    <row r="45" spans="2:5" ht="15.75" customHeight="1"/>
    <row r="46" spans="2:5" ht="15.75" customHeight="1"/>
    <row r="47" spans="2:5" ht="15.75" customHeight="1"/>
    <row r="48" spans="2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B27:E37"/>
  </mergeCells>
  <phoneticPr fontId="12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Sprint1-2-3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Martín Palacios Campoverde</cp:lastModifiedBy>
  <dcterms:created xsi:type="dcterms:W3CDTF">2023-01-13T00:08:00Z</dcterms:created>
  <dcterms:modified xsi:type="dcterms:W3CDTF">2026-07-10T14:35:56Z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04E1E889BB5A4222A882254EF6BE9D2C_12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