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/>
  <mc:AlternateContent xmlns:mc="http://schemas.openxmlformats.org/markup-compatibility/2006">
    <mc:Choice Requires="x15">
      <x15ac:absPath xmlns:x15ac="http://schemas.microsoft.com/office/spreadsheetml/2010/11/ac" url="C:\Users\leopo\Downloads\"/>
    </mc:Choice>
  </mc:AlternateContent>
  <xr:revisionPtr revIDLastSave="0" documentId="8_{6DAA1989-87EB-42C2-A811-CDACA3696941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Backlog" sheetId="1" r:id="rId1"/>
    <sheet name="Sprint1-2-3" sheetId="2" r:id="rId2"/>
    <sheet name="burdonchar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4" i="3" l="1"/>
  <c r="H24" i="3"/>
  <c r="I24" i="3" s="1"/>
  <c r="G24" i="3"/>
  <c r="F24" i="3"/>
  <c r="E24" i="3"/>
  <c r="D24" i="3"/>
  <c r="J23" i="3"/>
  <c r="I23" i="3"/>
  <c r="H23" i="3"/>
  <c r="G23" i="3"/>
  <c r="F23" i="3"/>
  <c r="E23" i="3"/>
  <c r="D23" i="3"/>
  <c r="C23" i="3"/>
  <c r="C24" i="3"/>
</calcChain>
</file>

<file path=xl/sharedStrings.xml><?xml version="1.0" encoding="utf-8"?>
<sst xmlns="http://schemas.openxmlformats.org/spreadsheetml/2006/main" count="367" uniqueCount="126">
  <si>
    <t>ID</t>
  </si>
  <si>
    <t>Tema</t>
  </si>
  <si>
    <t>Como un..</t>
  </si>
  <si>
    <t>necesito</t>
  </si>
  <si>
    <t>asi podre...</t>
  </si>
  <si>
    <t>notas</t>
  </si>
  <si>
    <t>prioridad</t>
  </si>
  <si>
    <t>estatus</t>
  </si>
  <si>
    <t>REQ001</t>
  </si>
  <si>
    <t>Control de acceso al sistema</t>
  </si>
  <si>
    <t>Administrador</t>
  </si>
  <si>
    <t>Autenticar el ingreso mediante usuario y contraseña</t>
  </si>
  <si>
    <t>Restringir el ingreso y proteger la información confidencial de ventas y servicios</t>
  </si>
  <si>
    <t>-</t>
  </si>
  <si>
    <t>Alta</t>
  </si>
  <si>
    <t>En proceso</t>
  </si>
  <si>
    <t>REQ002</t>
  </si>
  <si>
    <t>Venta de Productos (Tienda)</t>
  </si>
  <si>
    <t>Registrar productos con nombre y precio fijo</t>
  </si>
  <si>
    <t>Agilizar el cobro y mantener un control claro sobre las ventas de mostrador</t>
  </si>
  <si>
    <t>REQ003</t>
  </si>
  <si>
    <t>Registro de datos</t>
  </si>
  <si>
    <t>Guardar los datos de los usuarios</t>
  </si>
  <si>
    <t>Gestionar la informacion del usuario para dar seguimiento en el proceso</t>
  </si>
  <si>
    <t>REQ004</t>
  </si>
  <si>
    <t>Gestión de Servicios TAG</t>
  </si>
  <si>
    <t xml:space="preserve">Registrar de forma ordenada los trámites y homologaciones de peajes </t>
  </si>
  <si>
    <t>Evitar errores al escribir los nombres manualmente y asegurar que se asigne el precio correcto a cada trámite.</t>
  </si>
  <si>
    <t>No iniciado</t>
  </si>
  <si>
    <t>REQ005</t>
  </si>
  <si>
    <t>Gestión de Precio Variable</t>
  </si>
  <si>
    <t>Ingresar el valor a cobrar en servicios variables de servicios</t>
  </si>
  <si>
    <t>Ajustar el cobro segun la cantidad o el volumen de trabajo que se le entrega al cliente.</t>
  </si>
  <si>
    <t>REQ006</t>
  </si>
  <si>
    <t>Gestión de Reporte de ventas</t>
  </si>
  <si>
    <t>Visualizar un reporte final al terminar el día que sume las ganancias separadas por áreas</t>
  </si>
  <si>
    <t>Realizar el cierre diario de forma rápida al final de la jornada.</t>
  </si>
  <si>
    <t>Necesito</t>
  </si>
  <si>
    <t>así podre...</t>
  </si>
  <si>
    <t>Prioridad</t>
  </si>
  <si>
    <t>Status</t>
  </si>
  <si>
    <t>REQ001	Restringir el ingreso y proteger la información confidencial de ventas y servicios	-	Alta	En proceso</t>
  </si>
  <si>
    <t xml:space="preserve">Control de acceso al sistema	</t>
  </si>
  <si>
    <t>Tareas</t>
  </si>
  <si>
    <t>Asignado</t>
  </si>
  <si>
    <t>Estimado</t>
  </si>
  <si>
    <t>REQ001-1</t>
  </si>
  <si>
    <t>Diseñar la interfaz gráfica (UI) de autenticación</t>
  </si>
  <si>
    <t>Martin Palacios</t>
  </si>
  <si>
    <t>REQ001-2</t>
  </si>
  <si>
    <t xml:space="preserve"> Implementar el controlador de eventos y autenticación</t>
  </si>
  <si>
    <t>REQ001-3</t>
  </si>
  <si>
    <t>Validar credenciales contra el modelo de datos</t>
  </si>
  <si>
    <t>REQ002-1</t>
  </si>
  <si>
    <t xml:space="preserve"> Maquetar la interfaz de catálogo y resumen de venta</t>
  </si>
  <si>
    <t>Leopoldo Bolaños</t>
  </si>
  <si>
    <t>REQ002-2</t>
  </si>
  <si>
    <t>Desarrollar el mapeo dinámico de eventos de compra</t>
  </si>
  <si>
    <t>REQ002-3</t>
  </si>
  <si>
    <t>Gestionar el inventario en memoria y cálculo de totales</t>
  </si>
  <si>
    <t>REQ003-1</t>
  </si>
  <si>
    <t>Diseñar el panel de formulario de clientes</t>
  </si>
  <si>
    <t>Matias Medina</t>
  </si>
  <si>
    <t>REQ003-2</t>
  </si>
  <si>
    <t>Programar las validaciones de datos con expresiones regulares</t>
  </si>
  <si>
    <t>REQ003-3</t>
  </si>
  <si>
    <t>Implementar almacenamiento simulado de registros</t>
  </si>
  <si>
    <t>REQ004-1</t>
  </si>
  <si>
    <t>Diseñar la sección de trámites en la interfaz</t>
  </si>
  <si>
    <t>REQ004-2</t>
  </si>
  <si>
    <t>Programar la asignación automática de tarifas</t>
  </si>
  <si>
    <t>REQ004-3</t>
  </si>
  <si>
    <t>Integrar el registro del trámite al total de ventas</t>
  </si>
  <si>
    <t>REQ005-1</t>
  </si>
  <si>
    <t>Crear el campo de ingreso de dinero manual</t>
  </si>
  <si>
    <t>REQ005-2</t>
  </si>
  <si>
    <t>Validar que el valor ingresado sea un número válido</t>
  </si>
  <si>
    <t>REQ005-3</t>
  </si>
  <si>
    <t>Sumar el valor variable al acumulador del día</t>
  </si>
  <si>
    <t>REQ006-1</t>
  </si>
  <si>
    <t>Estructurar la separación de ganancias por categorías</t>
  </si>
  <si>
    <t>REQ006-2</t>
  </si>
  <si>
    <t>Desarrollar la operación matemática del Gran Total</t>
  </si>
  <si>
    <t>REQ006-3</t>
  </si>
  <si>
    <t>Formatear el resumen final en la pantalla de cierre</t>
  </si>
  <si>
    <t>Dia 7</t>
  </si>
  <si>
    <t>Dia 6</t>
  </si>
  <si>
    <t>Dia 5</t>
  </si>
  <si>
    <t>Dia 4</t>
  </si>
  <si>
    <t>Dia 3</t>
  </si>
  <si>
    <t>Dia 2</t>
  </si>
  <si>
    <t>Dia 1</t>
  </si>
  <si>
    <t>Total de Horas</t>
  </si>
  <si>
    <t>Horas Estimadas</t>
  </si>
  <si>
    <t>Horas Estimadas
Restantes</t>
  </si>
  <si>
    <t>Terminado</t>
  </si>
  <si>
    <t>REQ007</t>
  </si>
  <si>
    <t>REQ008</t>
  </si>
  <si>
    <t>REQ009</t>
  </si>
  <si>
    <t>Gestión de Caja Chica</t>
  </si>
  <si>
    <t>Búsqueda de Historial por Fecha</t>
  </si>
  <si>
    <t>Registro y Desglose de Métodos de Pago</t>
  </si>
  <si>
    <t>Ingresar un valor de caja chica al finalizar el día</t>
  </si>
  <si>
    <t>Contar con una base automática para el vuelto al iniciar la siguiente jornada laboral.</t>
  </si>
  <si>
    <t>Buscar las facturas del cierre de caja mediante un filtro de fechas</t>
  </si>
  <si>
    <t>Seleccionar el método de pago (Efectivo, Tarjeta, Transferencia o Mixto) en cada compra y visualizar su desglose en el cierre</t>
  </si>
  <si>
    <t>Conocer cuánto se recaudó en cada opción y calcular la ganancia total de forma automatizada.</t>
  </si>
  <si>
    <t>REQ007-1</t>
  </si>
  <si>
    <t>REQ007-2</t>
  </si>
  <si>
    <t>REQ007-3</t>
  </si>
  <si>
    <t>REQ008-1</t>
  </si>
  <si>
    <t>REQ008-2</t>
  </si>
  <si>
    <t>REQ008-3</t>
  </si>
  <si>
    <t>REQ009-1</t>
  </si>
  <si>
    <t>REQ009-2</t>
  </si>
  <si>
    <t>REQ009-3</t>
  </si>
  <si>
    <t>Gestión de Servicio Variable</t>
  </si>
  <si>
    <t>Diseñar el campo numérico de caja chica en la interfaz de cierre.</t>
  </si>
  <si>
    <t>Programar la lógica para arrastrar el valor al saldo inicial del día siguiente.</t>
  </si>
  <si>
    <t>Registrar y guardar el monto de caja chica en la base de datos.</t>
  </si>
  <si>
    <t>Diseñar el módulo de historial con un selector de fechas.</t>
  </si>
  <si>
    <t>Implementar el controlador de eventos al seleccionar una fecha.</t>
  </si>
  <si>
    <t>Crear la consulta a la base de datos para recuperar los cierres por fecha.</t>
  </si>
  <si>
    <t>Agregar el selector de método de pago en las pantallas de venta.</t>
  </si>
  <si>
    <t>Implementar la lógica para acumular los montos según cada método.</t>
  </si>
  <si>
    <t>Modificar el reporte final para mostrar el desglose y la ganancia total.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</si>
</sst>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>
    <font>
      <sz val="10"/>
      <color rgb="FF000000"/>
      <name val="Arial"/>
      <charset val="134"/>
      <scheme val="minor"/>
    </font>
    <font>
      <sz val="10"/>
      <color theme="1"/>
      <name val="Arial"/>
      <charset val="134"/>
    </font>
    <font>
      <sz val="11"/>
      <color rgb="FF000000"/>
      <name val="Inconsolata"/>
      <charset val="134"/>
    </font>
    <font>
      <sz val="12"/>
      <color rgb="FF000000"/>
      <name val="Arial"/>
      <charset val="134"/>
      <scheme val="minor"/>
    </font>
    <font>
      <b/>
      <sz val="10"/>
      <color theme="1"/>
      <name val="Arial"/>
      <charset val="134"/>
    </font>
    <font>
      <sz val="10"/>
      <name val="Arial"/>
      <charset val="134"/>
    </font>
    <font>
      <sz val="10"/>
      <color theme="4"/>
      <name val="Arial"/>
      <charset val="134"/>
    </font>
    <font>
      <sz val="10"/>
      <name val="Arial"/>
      <charset val="134"/>
      <scheme val="minor"/>
    </font>
    <font>
      <u/>
      <sz val="10"/>
      <color rgb="FF000000"/>
      <name val="Arial"/>
      <charset val="134"/>
      <scheme val="minor"/>
    </font>
    <font>
      <b/>
      <sz val="10"/>
      <color rgb="FF000000"/>
      <name val="Arial"/>
      <charset val="134"/>
      <scheme val="minor"/>
    </font>
    <font>
      <sz val="10"/>
      <color rgb="FF4472C4"/>
      <name val="Arial"/>
      <charset val="134"/>
    </font>
    <font>
      <sz val="10"/>
      <color rgb="FF000000"/>
      <name val="Arial"/>
      <charset val="134"/>
    </font>
    <font>
      <sz val="10"/>
      <color theme="4"/>
      <name val="Arial"/>
      <charset val="134"/>
      <scheme val="minor"/>
    </font>
    <font>
      <sz val="8"/>
      <name val="Arial"/>
      <charset val="134"/>
      <scheme val="minor"/>
    </font>
  </fonts>
  <fills count="7">
    <fill>
      <patternFill patternType="none"/>
    </fill>
    <fill>
      <patternFill patternType="gray125"/>
    </fill>
    <fill>
      <patternFill patternType="solid">
        <fgColor theme="7" tint="0.39994506668294322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D966"/>
        <bgColor rgb="FFFFD966"/>
      </patternFill>
    </fill>
    <fill>
      <patternFill patternType="solid">
        <fgColor rgb="FFFFFFFF"/>
        <bgColor rgb="FFFFFFFF"/>
      </patternFill>
    </fill>
    <fill>
      <patternFill patternType="solid">
        <fgColor rgb="FF9FC5E8"/>
        <bgColor rgb="FF9FC5E8"/>
      </patternFill>
    </fill>
  </fills>
  <borders count="10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1"/>
    <xf numFmtId="0" fontId="0" fillId="2" borderId="0" xfId="0" applyFill="1"/>
    <xf numFmtId="0" fontId="0" fillId="3" borderId="0" xfId="0" applyFill="1"/>
    <xf numFmtId="0" fontId="1" fillId="4" borderId="1" xfId="0" applyFont="1" applyFill="1" applyBorder="1"/>
    <xf numFmtId="0" fontId="1" fillId="0" borderId="1" xfId="0" applyFont="1" applyBorder="1"/>
    <xf numFmtId="0" fontId="2" fillId="5" borderId="1" xfId="0" applyFont="1" applyFill="1" applyBorder="1"/>
    <xf numFmtId="0" fontId="4" fillId="0" borderId="0" xfId="0" applyFont="1" applyAlignment="1">
      <alignment horizontal="center"/>
    </xf>
    <xf numFmtId="0" fontId="1" fillId="6" borderId="0" xfId="0" applyFont="1" applyFill="1"/>
    <xf numFmtId="0" fontId="5" fillId="6" borderId="0" xfId="0" applyFont="1" applyFill="1"/>
    <xf numFmtId="0" fontId="4" fillId="0" borderId="0" xfId="0" applyFont="1"/>
    <xf numFmtId="0" fontId="6" fillId="0" borderId="0" xfId="0" applyFont="1"/>
    <xf numFmtId="0" fontId="7" fillId="0" borderId="0" xfId="0" applyFont="1"/>
    <xf numFmtId="0" fontId="6" fillId="0" borderId="0" xfId="0" applyFont="1" applyAlignment="1">
      <alignment horizontal="right"/>
    </xf>
    <xf numFmtId="0" fontId="6" fillId="0" borderId="0" xfId="0" applyFont="1" applyAlignment="1">
      <alignment horizontal="left" vertical="top"/>
    </xf>
    <xf numFmtId="0" fontId="8" fillId="0" borderId="0" xfId="0" applyFont="1"/>
    <xf numFmtId="0" fontId="9" fillId="0" borderId="0" xfId="0" applyFont="1"/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6" fillId="0" borderId="2" xfId="0" applyFont="1" applyBorder="1"/>
    <xf numFmtId="0" fontId="10" fillId="0" borderId="2" xfId="0" applyFont="1" applyBorder="1"/>
    <xf numFmtId="0" fontId="6" fillId="0" borderId="3" xfId="0" applyFont="1" applyBorder="1"/>
    <xf numFmtId="0" fontId="10" fillId="0" borderId="4" xfId="0" applyFont="1" applyBorder="1"/>
    <xf numFmtId="0" fontId="11" fillId="0" borderId="5" xfId="0" applyFont="1" applyBorder="1"/>
    <xf numFmtId="0" fontId="6" fillId="0" borderId="6" xfId="0" applyFont="1" applyBorder="1"/>
    <xf numFmtId="0" fontId="6" fillId="0" borderId="4" xfId="0" applyFont="1" applyBorder="1"/>
    <xf numFmtId="0" fontId="12" fillId="0" borderId="7" xfId="0" applyFont="1" applyBorder="1"/>
    <xf numFmtId="0" fontId="6" fillId="0" borderId="8" xfId="0" applyFont="1" applyBorder="1"/>
    <xf numFmtId="0" fontId="11" fillId="0" borderId="9" xfId="0" applyFont="1" applyBorder="1"/>
    <xf numFmtId="0" fontId="6" fillId="0" borderId="7" xfId="0" applyFont="1" applyBorder="1"/>
    <xf numFmtId="0" fontId="11" fillId="0" borderId="2" xfId="0" applyFont="1" applyBorder="1"/>
    <xf numFmtId="0" fontId="3" fillId="0" borderId="0" xfId="0" applyFont="1" applyAlignment="1">
      <alignment horizontal="left" vertical="center" wrapText="1"/>
    </xf>
    <xf numFmtId="0" fontId="5" fillId="0" borderId="0" xfId="0" applyFont="1"/>
    <xf numFmtId="0" fontId="7" fillId="0" borderId="0" xfId="0" applyFont="1"/>
    <xf numFmtId="0" fontId="1" fillId="0" borderId="0" xfId="0" applyFont="1" applyAlignment="1">
      <alignment horizontal="left"/>
    </xf>
  </cellXfs>
  <cellStyles count="1">
    <cellStyle name="Normal" xfId="0" builtinId="0"/>
  </cellStyles>
  <dxfs count="5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2">
    <tableStyle name="burdonchart-style" pivot="0" count="3" xr9:uid="{DA1F60B7-2FD6-4A0F-AF68-62FAAEE33ED0}">
      <tableStyleElement type="headerRow" dxfId="4"/>
      <tableStyleElement type="firstRowStripe" dxfId="3"/>
      <tableStyleElement type="secondRowStripe" dxfId="2"/>
    </tableStyle>
    <tableStyle name="burdonchart-style 2" pivot="0" count="2" xr9:uid="{F3277CEE-AED3-4759-96CA-3AB49AFBB966}">
      <tableStyleElement type="firstRowStripe" dxfId="1"/>
      <tableStyleElement type="secondRowStripe" dxfId="0"/>
    </tableStyle>
  </tableStyles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1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8784427087397"/>
          <c:y val="5.9575003594018003E-2"/>
          <c:w val="0.71638705161854799"/>
          <c:h val="0.86882300089847297"/>
        </c:manualLayout>
      </c:layout>
      <c:lineChart>
        <c:grouping val="standard"/>
        <c:varyColors val="1"/>
        <c:ser>
          <c:idx val="0"/>
          <c:order val="0"/>
          <c:spPr>
            <a:ln w="19050" cap="rnd" cmpd="sng" algn="ctr">
              <a:solidFill>
                <a:srgbClr val="3366CC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burdonchart!$B$23:$J$23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19</c:v>
                </c:pt>
                <c:pt idx="3">
                  <c:v>15</c:v>
                </c:pt>
                <c:pt idx="4">
                  <c:v>12</c:v>
                </c:pt>
                <c:pt idx="5">
                  <c:v>9</c:v>
                </c:pt>
                <c:pt idx="6">
                  <c:v>5</c:v>
                </c:pt>
                <c:pt idx="7">
                  <c:v>4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6EB-4C62-95FF-29D8B23D8231}"/>
            </c:ext>
          </c:extLst>
        </c:ser>
        <c:ser>
          <c:idx val="1"/>
          <c:order val="1"/>
          <c:spPr>
            <a:ln w="19050" cap="rnd" cmpd="sng" algn="ctr">
              <a:solidFill>
                <a:srgbClr val="DC3912"/>
              </a:solidFill>
              <a:prstDash val="solid"/>
              <a:round/>
            </a:ln>
          </c:spPr>
          <c:marker>
            <c:symbol val="none"/>
          </c:marker>
          <c:val>
            <c:numRef>
              <c:f>burdonchart!$B$24:$J$24</c:f>
              <c:numCache>
                <c:formatCode>General</c:formatCode>
                <c:ptCount val="9"/>
                <c:pt idx="0">
                  <c:v>0</c:v>
                </c:pt>
                <c:pt idx="1">
                  <c:v>24</c:v>
                </c:pt>
                <c:pt idx="2">
                  <c:v>20.571428571428573</c:v>
                </c:pt>
                <c:pt idx="3">
                  <c:v>17.142857142857146</c:v>
                </c:pt>
                <c:pt idx="4">
                  <c:v>13.714285714285717</c:v>
                </c:pt>
                <c:pt idx="5">
                  <c:v>10.285714285714288</c:v>
                </c:pt>
                <c:pt idx="6">
                  <c:v>6.8571428571428594</c:v>
                </c:pt>
                <c:pt idx="7">
                  <c:v>3.428571428571431</c:v>
                </c:pt>
                <c:pt idx="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6EB-4C62-95FF-29D8B23D82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089006"/>
        <c:axId val="1777883363"/>
      </c:lineChart>
      <c:catAx>
        <c:axId val="1210890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777883363"/>
        <c:crosses val="autoZero"/>
        <c:auto val="1"/>
        <c:lblAlgn val="ctr"/>
        <c:lblOffset val="100"/>
        <c:noMultiLvlLbl val="1"/>
      </c:catAx>
      <c:valAx>
        <c:axId val="1777883363"/>
        <c:scaling>
          <c:orientation val="minMax"/>
        </c:scaling>
        <c:delete val="0"/>
        <c:axPos val="l"/>
        <c:majorGridlines>
          <c:spPr>
            <a:ln w="6350" cap="flat" cmpd="sng" algn="ctr">
              <a:solidFill>
                <a:srgbClr val="B7B7B7"/>
              </a:solidFill>
              <a:prstDash val="solid"/>
              <a:round/>
            </a:ln>
          </c:spPr>
        </c:majorGridlines>
        <c:minorGridlines>
          <c:spPr>
            <a:ln w="6350" cap="flat" cmpd="sng" algn="ctr">
              <a:solidFill>
                <a:srgbClr val="CCCCCC">
                  <a:alpha val="0"/>
                </a:srgbClr>
              </a:solidFill>
              <a:prstDash val="solid"/>
              <a:round/>
            </a:ln>
          </c:spPr>
        </c:minorGridlines>
        <c:title>
          <c:tx>
            <c:rich>
              <a:bodyPr/>
              <a:lstStyle/>
              <a:p>
                <a:pPr>
                  <a:defRPr/>
                </a:pPr>
                <a:endParaRPr lang="es-EC"/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 w="6350" cap="flat" cmpd="sng" algn="ctr">
            <a:solidFill>
              <a:schemeClr val="tx1">
                <a:tint val="75000"/>
              </a:schemeClr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es-ES" sz="1000" b="0" i="0" u="none" strike="noStrike" kern="1200" baseline="0">
                <a:solidFill>
                  <a:srgbClr val="000000"/>
                </a:solidFill>
                <a:latin typeface="Roboto"/>
                <a:ea typeface="+mn-ea"/>
                <a:cs typeface="+mn-cs"/>
              </a:defRPr>
            </a:pPr>
            <a:endParaRPr lang="es-EC"/>
          </a:p>
        </c:txPr>
        <c:crossAx val="121089006"/>
        <c:crosses val="autoZero"/>
        <c:crossBetween val="between"/>
      </c:valAx>
    </c:plotArea>
    <c:legend>
      <c:legendPos val="r"/>
      <c:overlay val="0"/>
      <c:txPr>
        <a:bodyPr rot="0" spcFirstLastPara="0" vertOverflow="ellipsis" vert="horz" wrap="square" anchor="ctr" anchorCtr="1"/>
        <a:lstStyle/>
        <a:p>
          <a:pPr>
            <a:defRPr lang="es-ES" sz="1000" b="0" i="0" u="none" strike="noStrike" kern="1200" baseline="0">
              <a:solidFill>
                <a:srgbClr val="000000"/>
              </a:solidFill>
              <a:latin typeface="Roboto"/>
              <a:ea typeface="+mn-ea"/>
              <a:cs typeface="+mn-cs"/>
            </a:defRPr>
          </a:pPr>
          <a:endParaRPr lang="es-EC"/>
        </a:p>
      </c:txPr>
    </c:legend>
    <c:plotVisOnly val="1"/>
    <c:dispBlanksAs val="zero"/>
    <c:showDLblsOverMax val="1"/>
    <c:extLst>
      <c:ext uri="{0b15fc19-7d7d-44ad-8c2d-2c3a37ce22c3}">
        <chartProps xmlns="https://web.wps.cn/et/2018/main" chartId="{018a5ee8-d0e9-4f74-8a01-4710a641066c}"/>
      </c:ext>
    </c:extLst>
  </c:chart>
  <c:txPr>
    <a:bodyPr/>
    <a:lstStyle/>
    <a:p>
      <a:pPr>
        <a:defRPr lang="es-ES"/>
      </a:pPr>
      <a:endParaRPr lang="es-EC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0</xdr:colOff>
      <xdr:row>26</xdr:row>
      <xdr:rowOff>0</xdr:rowOff>
    </xdr:from>
    <xdr:ext cx="8056558" cy="4937695"/>
    <xdr:graphicFrame macro="">
      <xdr:nvGraphicFramePr>
        <xdr:cNvPr id="4" name="Chart 1" title="Gráfico">
          <a:extLst>
            <a:ext uri="{FF2B5EF4-FFF2-40B4-BE49-F238E27FC236}">
              <a16:creationId xmlns:a16="http://schemas.microsoft.com/office/drawing/2014/main" id="{EBD643AD-5826-4B80-AFFE-E2306F68598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H996"/>
  <sheetViews>
    <sheetView topLeftCell="B1" zoomScale="70" zoomScaleNormal="70" workbookViewId="0">
      <selection activeCell="B10" sqref="B10:H10"/>
    </sheetView>
  </sheetViews>
  <sheetFormatPr baseColWidth="10" defaultColWidth="12.5546875" defaultRowHeight="15" customHeight="1"/>
  <cols>
    <col min="1" max="1" width="12.5546875" customWidth="1"/>
    <col min="2" max="2" width="34.88671875" customWidth="1"/>
    <col min="3" max="3" width="16.88671875" customWidth="1"/>
    <col min="4" max="4" width="111.6640625" bestFit="1" customWidth="1"/>
    <col min="5" max="5" width="92.5546875" customWidth="1"/>
    <col min="6" max="6" width="12.5546875" customWidth="1"/>
  </cols>
  <sheetData>
    <row r="1" spans="1:8" ht="15.75" customHeight="1">
      <c r="A1" s="17" t="s">
        <v>0</v>
      </c>
      <c r="B1" s="17" t="s">
        <v>1</v>
      </c>
      <c r="C1" s="17" t="s">
        <v>2</v>
      </c>
      <c r="D1" s="17" t="s">
        <v>3</v>
      </c>
      <c r="E1" s="17" t="s">
        <v>4</v>
      </c>
      <c r="F1" s="18" t="s">
        <v>5</v>
      </c>
      <c r="G1" s="17" t="s">
        <v>6</v>
      </c>
      <c r="H1" s="17" t="s">
        <v>7</v>
      </c>
    </row>
    <row r="2" spans="1:8" ht="15.75" customHeight="1">
      <c r="A2" s="19" t="s">
        <v>8</v>
      </c>
      <c r="B2" s="20" t="s">
        <v>9</v>
      </c>
      <c r="C2" s="20" t="s">
        <v>10</v>
      </c>
      <c r="D2" s="21" t="s">
        <v>11</v>
      </c>
      <c r="E2" s="22" t="s">
        <v>12</v>
      </c>
      <c r="F2" s="23" t="s">
        <v>13</v>
      </c>
      <c r="G2" s="24" t="s">
        <v>14</v>
      </c>
      <c r="H2" s="19" t="s">
        <v>95</v>
      </c>
    </row>
    <row r="3" spans="1:8" ht="15.75" customHeight="1">
      <c r="A3" s="25" t="s">
        <v>16</v>
      </c>
      <c r="B3" s="26" t="s">
        <v>17</v>
      </c>
      <c r="C3" s="27" t="s">
        <v>10</v>
      </c>
      <c r="D3" s="26" t="s">
        <v>18</v>
      </c>
      <c r="E3" s="26" t="s">
        <v>19</v>
      </c>
      <c r="F3" s="28" t="s">
        <v>13</v>
      </c>
      <c r="G3" s="29" t="s">
        <v>14</v>
      </c>
      <c r="H3" s="19" t="s">
        <v>95</v>
      </c>
    </row>
    <row r="4" spans="1:8" ht="15.75" customHeight="1">
      <c r="A4" s="19" t="s">
        <v>20</v>
      </c>
      <c r="B4" s="19" t="s">
        <v>21</v>
      </c>
      <c r="C4" s="19" t="s">
        <v>10</v>
      </c>
      <c r="D4" s="19" t="s">
        <v>22</v>
      </c>
      <c r="E4" s="19" t="s">
        <v>23</v>
      </c>
      <c r="F4" s="30" t="s">
        <v>13</v>
      </c>
      <c r="G4" s="19" t="s">
        <v>14</v>
      </c>
      <c r="H4" s="19" t="s">
        <v>95</v>
      </c>
    </row>
    <row r="5" spans="1:8" ht="15.75" customHeight="1">
      <c r="A5" s="19" t="s">
        <v>24</v>
      </c>
      <c r="B5" s="19" t="s">
        <v>25</v>
      </c>
      <c r="C5" s="19" t="s">
        <v>10</v>
      </c>
      <c r="D5" s="19" t="s">
        <v>26</v>
      </c>
      <c r="E5" s="19" t="s">
        <v>27</v>
      </c>
      <c r="F5" s="30" t="s">
        <v>13</v>
      </c>
      <c r="G5" s="19" t="s">
        <v>14</v>
      </c>
      <c r="H5" s="19" t="s">
        <v>95</v>
      </c>
    </row>
    <row r="6" spans="1:8" ht="15.75" customHeight="1">
      <c r="A6" s="19" t="s">
        <v>29</v>
      </c>
      <c r="B6" s="19" t="s">
        <v>30</v>
      </c>
      <c r="C6" s="19" t="s">
        <v>10</v>
      </c>
      <c r="D6" s="19" t="s">
        <v>31</v>
      </c>
      <c r="E6" s="19" t="s">
        <v>32</v>
      </c>
      <c r="F6" s="30" t="s">
        <v>13</v>
      </c>
      <c r="G6" s="19" t="s">
        <v>14</v>
      </c>
      <c r="H6" s="19" t="s">
        <v>95</v>
      </c>
    </row>
    <row r="7" spans="1:8" ht="15.75" customHeight="1">
      <c r="A7" s="19" t="s">
        <v>33</v>
      </c>
      <c r="B7" s="19" t="s">
        <v>34</v>
      </c>
      <c r="C7" s="19" t="s">
        <v>10</v>
      </c>
      <c r="D7" s="19" t="s">
        <v>35</v>
      </c>
      <c r="E7" s="19" t="s">
        <v>36</v>
      </c>
      <c r="F7" s="30" t="s">
        <v>13</v>
      </c>
      <c r="G7" s="19" t="s">
        <v>14</v>
      </c>
      <c r="H7" s="19" t="s">
        <v>95</v>
      </c>
    </row>
    <row r="8" spans="1:8" ht="15.75" customHeight="1">
      <c r="A8" s="19" t="s">
        <v>96</v>
      </c>
      <c r="B8" s="19" t="s">
        <v>99</v>
      </c>
      <c r="C8" s="19" t="s">
        <v>10</v>
      </c>
      <c r="D8" s="19" t="s">
        <v>102</v>
      </c>
      <c r="E8" s="19" t="s">
        <v>103</v>
      </c>
      <c r="F8" s="30" t="s">
        <v>13</v>
      </c>
      <c r="G8" s="19" t="s">
        <v>14</v>
      </c>
      <c r="H8" s="19" t="s">
        <v>28</v>
      </c>
    </row>
    <row r="9" spans="1:8" ht="15.75" customHeight="1">
      <c r="A9" s="19" t="s">
        <v>97</v>
      </c>
      <c r="B9" s="19" t="s">
        <v>100</v>
      </c>
      <c r="C9" s="19" t="s">
        <v>10</v>
      </c>
      <c r="D9" s="19" t="s">
        <v>104</v>
      </c>
      <c r="E9" s="19" t="s">
        <v>104</v>
      </c>
      <c r="F9" s="30" t="s">
        <v>13</v>
      </c>
      <c r="G9" s="19" t="s">
        <v>14</v>
      </c>
      <c r="H9" s="19" t="s">
        <v>28</v>
      </c>
    </row>
    <row r="10" spans="1:8" ht="15.75" customHeight="1">
      <c r="A10" s="19" t="s">
        <v>98</v>
      </c>
      <c r="B10" s="19" t="s">
        <v>101</v>
      </c>
      <c r="C10" s="19" t="s">
        <v>10</v>
      </c>
      <c r="D10" s="19" t="s">
        <v>105</v>
      </c>
      <c r="E10" s="19" t="s">
        <v>106</v>
      </c>
      <c r="F10" s="30" t="s">
        <v>13</v>
      </c>
      <c r="G10" s="19" t="s">
        <v>14</v>
      </c>
      <c r="H10" s="19" t="s">
        <v>28</v>
      </c>
    </row>
    <row r="11" spans="1:8" ht="15.75" customHeight="1"/>
    <row r="12" spans="1:8" ht="15.75" customHeight="1"/>
    <row r="13" spans="1:8" ht="15.75" customHeight="1"/>
    <row r="14" spans="1:8" ht="15.75" customHeight="1"/>
    <row r="15" spans="1:8" ht="15.75" customHeight="1"/>
    <row r="16" spans="1:8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K960"/>
  <sheetViews>
    <sheetView tabSelected="1" topLeftCell="A43" zoomScale="80" zoomScaleNormal="80" workbookViewId="0">
      <selection activeCell="C72" sqref="C72:F72"/>
    </sheetView>
  </sheetViews>
  <sheetFormatPr baseColWidth="10" defaultColWidth="12.5546875" defaultRowHeight="15" customHeight="1"/>
  <cols>
    <col min="1" max="2" width="12.5546875" customWidth="1"/>
    <col min="3" max="3" width="26.21875" customWidth="1"/>
    <col min="4" max="4" width="20.44140625" customWidth="1"/>
    <col min="5" max="5" width="81.88671875" customWidth="1"/>
    <col min="6" max="6" width="56.109375" customWidth="1"/>
    <col min="7" max="7" width="29" customWidth="1"/>
  </cols>
  <sheetData>
    <row r="1" spans="2:11" ht="15.75" customHeight="1"/>
    <row r="2" spans="2:11" ht="15.75" customHeight="1"/>
    <row r="3" spans="2:11" ht="15.75" customHeight="1">
      <c r="B3" s="7" t="s">
        <v>0</v>
      </c>
      <c r="C3" s="7" t="s">
        <v>1</v>
      </c>
      <c r="D3" s="7" t="s">
        <v>2</v>
      </c>
      <c r="E3" s="7" t="s">
        <v>37</v>
      </c>
      <c r="F3" s="7" t="s">
        <v>38</v>
      </c>
      <c r="G3" s="7" t="s">
        <v>5</v>
      </c>
      <c r="H3" s="7" t="s">
        <v>39</v>
      </c>
      <c r="I3" s="7" t="s">
        <v>40</v>
      </c>
    </row>
    <row r="4" spans="2:11" ht="15.75" customHeight="1">
      <c r="B4" s="8" t="s">
        <v>41</v>
      </c>
      <c r="C4" s="8" t="s">
        <v>42</v>
      </c>
      <c r="D4" s="8" t="s">
        <v>10</v>
      </c>
      <c r="E4" s="9" t="s">
        <v>11</v>
      </c>
      <c r="F4" s="8" t="s">
        <v>12</v>
      </c>
      <c r="G4" s="8" t="s">
        <v>13</v>
      </c>
      <c r="H4" s="8" t="s">
        <v>14</v>
      </c>
      <c r="I4" s="8" t="s">
        <v>15</v>
      </c>
    </row>
    <row r="5" spans="2:11" ht="15.75" customHeight="1">
      <c r="B5" s="1"/>
      <c r="C5" s="10" t="s">
        <v>43</v>
      </c>
      <c r="D5" s="1"/>
      <c r="E5" s="1"/>
      <c r="F5" s="1"/>
      <c r="G5" s="10" t="s">
        <v>44</v>
      </c>
      <c r="H5" s="1"/>
      <c r="I5" s="10" t="s">
        <v>45</v>
      </c>
    </row>
    <row r="6" spans="2:11" ht="15.75" customHeight="1">
      <c r="B6" s="11" t="s">
        <v>46</v>
      </c>
      <c r="C6" s="32" t="s">
        <v>47</v>
      </c>
      <c r="D6" s="33"/>
      <c r="E6" s="33"/>
      <c r="F6" s="33"/>
      <c r="G6" s="1" t="s">
        <v>48</v>
      </c>
      <c r="H6" s="1"/>
      <c r="I6" s="13">
        <v>2</v>
      </c>
    </row>
    <row r="7" spans="2:11" ht="15.75" customHeight="1">
      <c r="B7" s="11" t="s">
        <v>49</v>
      </c>
      <c r="C7" s="32" t="s">
        <v>50</v>
      </c>
      <c r="D7" s="33"/>
      <c r="E7" s="33"/>
      <c r="F7" s="33"/>
      <c r="G7" s="1" t="s">
        <v>48</v>
      </c>
      <c r="H7" s="1"/>
      <c r="I7" s="13">
        <v>1</v>
      </c>
    </row>
    <row r="8" spans="2:11" ht="15.75" customHeight="1">
      <c r="B8" s="11" t="s">
        <v>51</v>
      </c>
      <c r="C8" s="32" t="s">
        <v>52</v>
      </c>
      <c r="D8" s="33"/>
      <c r="E8" s="33"/>
      <c r="F8" s="33"/>
      <c r="G8" s="1" t="s">
        <v>48</v>
      </c>
      <c r="H8" s="1"/>
      <c r="I8" s="11">
        <v>1</v>
      </c>
    </row>
    <row r="9" spans="2:11" ht="15.75" customHeight="1">
      <c r="B9" s="14"/>
      <c r="C9" s="34"/>
      <c r="D9" s="34"/>
      <c r="E9" s="34"/>
      <c r="F9" s="34"/>
      <c r="G9" s="1"/>
      <c r="H9" s="7"/>
      <c r="I9" s="13"/>
    </row>
    <row r="10" spans="2:11" ht="15.75" customHeight="1">
      <c r="B10" s="11"/>
      <c r="C10" s="11"/>
      <c r="D10" s="11"/>
      <c r="E10" s="11"/>
      <c r="F10" s="11"/>
      <c r="G10" s="11"/>
      <c r="H10" s="11"/>
      <c r="I10" s="11"/>
    </row>
    <row r="11" spans="2:11" ht="15.75" customHeight="1">
      <c r="B11" s="7" t="s">
        <v>0</v>
      </c>
      <c r="C11" s="7" t="s">
        <v>1</v>
      </c>
      <c r="D11" s="7" t="s">
        <v>2</v>
      </c>
      <c r="E11" s="7" t="s">
        <v>37</v>
      </c>
      <c r="F11" s="7" t="s">
        <v>38</v>
      </c>
      <c r="G11" s="7" t="s">
        <v>5</v>
      </c>
      <c r="H11" s="7" t="s">
        <v>39</v>
      </c>
      <c r="I11" s="7" t="s">
        <v>40</v>
      </c>
    </row>
    <row r="12" spans="2:11" ht="15.75" customHeight="1">
      <c r="B12" s="8" t="s">
        <v>16</v>
      </c>
      <c r="C12" s="8" t="s">
        <v>17</v>
      </c>
      <c r="D12" s="8" t="s">
        <v>10</v>
      </c>
      <c r="E12" s="9" t="s">
        <v>18</v>
      </c>
      <c r="F12" s="8" t="s">
        <v>19</v>
      </c>
      <c r="G12" s="8" t="s">
        <v>13</v>
      </c>
      <c r="H12" s="8" t="s">
        <v>14</v>
      </c>
      <c r="I12" s="8" t="s">
        <v>15</v>
      </c>
    </row>
    <row r="13" spans="2:11" ht="15.75" customHeight="1">
      <c r="B13" s="1"/>
      <c r="C13" s="10" t="s">
        <v>43</v>
      </c>
      <c r="D13" s="1"/>
      <c r="E13" s="1"/>
      <c r="F13" s="1"/>
      <c r="G13" s="10" t="s">
        <v>44</v>
      </c>
      <c r="H13" s="1"/>
      <c r="I13" s="10" t="s">
        <v>45</v>
      </c>
    </row>
    <row r="14" spans="2:11" ht="15.75" customHeight="1">
      <c r="B14" s="11" t="s">
        <v>53</v>
      </c>
      <c r="C14" s="32" t="s">
        <v>54</v>
      </c>
      <c r="D14" s="33"/>
      <c r="E14" s="33"/>
      <c r="F14" s="33"/>
      <c r="G14" s="1" t="s">
        <v>55</v>
      </c>
      <c r="H14" s="1"/>
      <c r="I14" s="13">
        <v>2</v>
      </c>
    </row>
    <row r="15" spans="2:11" ht="15.75" customHeight="1">
      <c r="B15" s="11" t="s">
        <v>56</v>
      </c>
      <c r="C15" s="32" t="s">
        <v>57</v>
      </c>
      <c r="D15" s="33"/>
      <c r="E15" s="33"/>
      <c r="F15" s="33"/>
      <c r="G15" s="1" t="s">
        <v>55</v>
      </c>
      <c r="H15" s="1"/>
      <c r="I15" s="13">
        <v>1</v>
      </c>
      <c r="K15" s="15"/>
    </row>
    <row r="16" spans="2:11" ht="15.75" customHeight="1">
      <c r="B16" s="11" t="s">
        <v>58</v>
      </c>
      <c r="C16" t="s">
        <v>59</v>
      </c>
      <c r="D16" s="12"/>
      <c r="E16" s="12"/>
      <c r="F16" s="12"/>
      <c r="G16" s="1" t="s">
        <v>55</v>
      </c>
      <c r="H16" s="1"/>
      <c r="I16" s="11">
        <v>1</v>
      </c>
    </row>
    <row r="17" spans="2:9" ht="15.75" customHeight="1"/>
    <row r="18" spans="2:9" ht="15.75" customHeight="1"/>
    <row r="19" spans="2:9" ht="15.75" customHeight="1">
      <c r="B19" s="7" t="s">
        <v>0</v>
      </c>
      <c r="C19" s="7" t="s">
        <v>1</v>
      </c>
      <c r="D19" s="7" t="s">
        <v>2</v>
      </c>
      <c r="E19" s="7" t="s">
        <v>37</v>
      </c>
      <c r="F19" s="7" t="s">
        <v>38</v>
      </c>
      <c r="G19" s="7" t="s">
        <v>5</v>
      </c>
      <c r="H19" s="7" t="s">
        <v>39</v>
      </c>
      <c r="I19" s="7" t="s">
        <v>40</v>
      </c>
    </row>
    <row r="20" spans="2:9" ht="15.75" customHeight="1">
      <c r="B20" s="8" t="s">
        <v>20</v>
      </c>
      <c r="C20" s="8" t="s">
        <v>21</v>
      </c>
      <c r="D20" s="8" t="s">
        <v>10</v>
      </c>
      <c r="E20" s="9" t="s">
        <v>22</v>
      </c>
      <c r="F20" s="8" t="s">
        <v>23</v>
      </c>
      <c r="G20" s="8" t="s">
        <v>13</v>
      </c>
      <c r="H20" s="8" t="s">
        <v>14</v>
      </c>
      <c r="I20" s="8" t="s">
        <v>15</v>
      </c>
    </row>
    <row r="21" spans="2:9" ht="15.75" customHeight="1">
      <c r="B21" s="1"/>
      <c r="C21" s="10" t="s">
        <v>43</v>
      </c>
      <c r="D21" s="1"/>
      <c r="E21" s="1"/>
      <c r="F21" s="1"/>
      <c r="G21" s="10" t="s">
        <v>44</v>
      </c>
      <c r="H21" s="1"/>
      <c r="I21" s="10" t="s">
        <v>45</v>
      </c>
    </row>
    <row r="22" spans="2:9" ht="15.75" customHeight="1">
      <c r="B22" s="11" t="s">
        <v>60</v>
      </c>
      <c r="C22" s="32" t="s">
        <v>61</v>
      </c>
      <c r="D22" s="33"/>
      <c r="E22" s="33"/>
      <c r="F22" s="33"/>
      <c r="G22" s="1" t="s">
        <v>62</v>
      </c>
      <c r="H22" s="1"/>
      <c r="I22" s="13">
        <v>1</v>
      </c>
    </row>
    <row r="23" spans="2:9" ht="15.75" customHeight="1">
      <c r="B23" s="11" t="s">
        <v>63</v>
      </c>
      <c r="C23" s="32" t="s">
        <v>64</v>
      </c>
      <c r="D23" s="33"/>
      <c r="E23" s="33"/>
      <c r="F23" s="33"/>
      <c r="G23" s="1" t="s">
        <v>62</v>
      </c>
      <c r="H23" s="1"/>
      <c r="I23" s="13">
        <v>2</v>
      </c>
    </row>
    <row r="24" spans="2:9" ht="15.75" customHeight="1">
      <c r="B24" s="11" t="s">
        <v>65</v>
      </c>
      <c r="C24" s="32" t="s">
        <v>66</v>
      </c>
      <c r="D24" s="33"/>
      <c r="E24" s="33"/>
      <c r="F24" s="33"/>
      <c r="G24" s="1" t="s">
        <v>62</v>
      </c>
      <c r="H24" s="1"/>
      <c r="I24" s="11">
        <v>1</v>
      </c>
    </row>
    <row r="25" spans="2:9" ht="15.75" customHeight="1"/>
    <row r="26" spans="2:9" ht="15.75" customHeight="1"/>
    <row r="27" spans="2:9" ht="15.75" customHeight="1">
      <c r="B27" s="7" t="s">
        <v>0</v>
      </c>
      <c r="C27" s="7" t="s">
        <v>1</v>
      </c>
      <c r="D27" s="7" t="s">
        <v>2</v>
      </c>
      <c r="E27" s="7" t="s">
        <v>37</v>
      </c>
      <c r="F27" s="7" t="s">
        <v>38</v>
      </c>
      <c r="G27" s="7" t="s">
        <v>5</v>
      </c>
      <c r="H27" s="7" t="s">
        <v>39</v>
      </c>
      <c r="I27" s="7" t="s">
        <v>40</v>
      </c>
    </row>
    <row r="28" spans="2:9" ht="15.75" customHeight="1">
      <c r="B28" s="8" t="s">
        <v>24</v>
      </c>
      <c r="C28" s="8" t="s">
        <v>25</v>
      </c>
      <c r="D28" s="8" t="s">
        <v>10</v>
      </c>
      <c r="E28" s="9" t="s">
        <v>26</v>
      </c>
      <c r="F28" s="8" t="s">
        <v>27</v>
      </c>
      <c r="G28" s="8" t="s">
        <v>13</v>
      </c>
      <c r="H28" s="8" t="s">
        <v>14</v>
      </c>
      <c r="I28" s="8" t="s">
        <v>28</v>
      </c>
    </row>
    <row r="29" spans="2:9" ht="15.75" customHeight="1">
      <c r="B29" s="1"/>
      <c r="C29" s="10" t="s">
        <v>43</v>
      </c>
      <c r="D29" s="1"/>
      <c r="E29" s="1"/>
      <c r="F29" s="1"/>
      <c r="G29" s="10" t="s">
        <v>44</v>
      </c>
      <c r="H29" s="1"/>
      <c r="I29" s="10" t="s">
        <v>45</v>
      </c>
    </row>
    <row r="30" spans="2:9" ht="15.75" customHeight="1">
      <c r="B30" s="11" t="s">
        <v>67</v>
      </c>
      <c r="C30" s="32" t="s">
        <v>68</v>
      </c>
      <c r="D30" s="33"/>
      <c r="E30" s="33"/>
      <c r="F30" s="33"/>
      <c r="G30" s="1" t="s">
        <v>48</v>
      </c>
      <c r="H30" s="1"/>
      <c r="I30" s="13">
        <v>1</v>
      </c>
    </row>
    <row r="31" spans="2:9" ht="15.75" customHeight="1">
      <c r="B31" s="11" t="s">
        <v>69</v>
      </c>
      <c r="C31" s="32" t="s">
        <v>70</v>
      </c>
      <c r="D31" s="33"/>
      <c r="E31" s="33"/>
      <c r="F31" s="33"/>
      <c r="G31" s="1" t="s">
        <v>48</v>
      </c>
      <c r="H31" s="1"/>
      <c r="I31" s="13">
        <v>1</v>
      </c>
    </row>
    <row r="32" spans="2:9" ht="15.75" customHeight="1">
      <c r="B32" s="11" t="s">
        <v>71</v>
      </c>
      <c r="C32" s="32" t="s">
        <v>72</v>
      </c>
      <c r="D32" s="33"/>
      <c r="E32" s="33"/>
      <c r="F32" s="33"/>
      <c r="G32" s="1" t="s">
        <v>48</v>
      </c>
      <c r="H32" s="1"/>
      <c r="I32" s="11">
        <v>2</v>
      </c>
    </row>
    <row r="33" spans="2:9" ht="15.75" customHeight="1">
      <c r="B33" s="16"/>
      <c r="C33" s="16"/>
      <c r="D33" s="16"/>
      <c r="E33" s="16"/>
    </row>
    <row r="34" spans="2:9" ht="15.75" customHeight="1"/>
    <row r="35" spans="2:9" ht="15.75" customHeight="1">
      <c r="B35" s="7" t="s">
        <v>0</v>
      </c>
      <c r="C35" s="7" t="s">
        <v>1</v>
      </c>
      <c r="D35" s="7" t="s">
        <v>2</v>
      </c>
      <c r="E35" s="7" t="s">
        <v>37</v>
      </c>
      <c r="F35" s="7" t="s">
        <v>38</v>
      </c>
      <c r="G35" s="7" t="s">
        <v>5</v>
      </c>
      <c r="H35" s="7" t="s">
        <v>39</v>
      </c>
      <c r="I35" s="7" t="s">
        <v>40</v>
      </c>
    </row>
    <row r="36" spans="2:9" ht="15.75" customHeight="1">
      <c r="B36" s="8" t="s">
        <v>29</v>
      </c>
      <c r="C36" s="8" t="s">
        <v>116</v>
      </c>
      <c r="D36" s="8" t="s">
        <v>10</v>
      </c>
      <c r="E36" s="9" t="s">
        <v>31</v>
      </c>
      <c r="F36" s="8" t="s">
        <v>32</v>
      </c>
      <c r="G36" s="8" t="s">
        <v>13</v>
      </c>
      <c r="H36" s="8" t="s">
        <v>14</v>
      </c>
      <c r="I36" s="8" t="s">
        <v>28</v>
      </c>
    </row>
    <row r="37" spans="2:9" ht="15.75" customHeight="1">
      <c r="B37" s="1"/>
      <c r="C37" s="10" t="s">
        <v>43</v>
      </c>
      <c r="D37" s="1"/>
      <c r="E37" s="1"/>
      <c r="F37" s="1"/>
      <c r="G37" s="10" t="s">
        <v>44</v>
      </c>
      <c r="H37" s="1"/>
      <c r="I37" s="10" t="s">
        <v>45</v>
      </c>
    </row>
    <row r="38" spans="2:9" ht="15.75" customHeight="1">
      <c r="B38" s="11" t="s">
        <v>73</v>
      </c>
      <c r="C38" s="32" t="s">
        <v>74</v>
      </c>
      <c r="D38" s="33"/>
      <c r="E38" s="33"/>
      <c r="F38" s="33"/>
      <c r="G38" s="1" t="s">
        <v>62</v>
      </c>
      <c r="H38" s="1"/>
      <c r="I38" s="13">
        <v>2</v>
      </c>
    </row>
    <row r="39" spans="2:9" ht="15.75" customHeight="1">
      <c r="B39" s="11" t="s">
        <v>75</v>
      </c>
      <c r="C39" s="32" t="s">
        <v>76</v>
      </c>
      <c r="D39" s="33"/>
      <c r="E39" s="33"/>
      <c r="F39" s="33"/>
      <c r="G39" s="1" t="s">
        <v>62</v>
      </c>
      <c r="H39" s="1"/>
      <c r="I39" s="13">
        <v>1</v>
      </c>
    </row>
    <row r="40" spans="2:9" ht="15.75" customHeight="1">
      <c r="B40" s="11" t="s">
        <v>77</v>
      </c>
      <c r="C40" s="32" t="s">
        <v>78</v>
      </c>
      <c r="D40" s="33"/>
      <c r="E40" s="33"/>
      <c r="F40" s="33"/>
      <c r="G40" s="1" t="s">
        <v>62</v>
      </c>
      <c r="H40" s="1"/>
      <c r="I40" s="11">
        <v>1</v>
      </c>
    </row>
    <row r="41" spans="2:9" ht="15.75" customHeight="1"/>
    <row r="42" spans="2:9" ht="15.75" customHeight="1"/>
    <row r="43" spans="2:9" ht="15.75" customHeight="1">
      <c r="B43" s="7" t="s">
        <v>0</v>
      </c>
      <c r="C43" s="7" t="s">
        <v>1</v>
      </c>
      <c r="D43" s="7" t="s">
        <v>2</v>
      </c>
      <c r="E43" s="7" t="s">
        <v>37</v>
      </c>
      <c r="F43" s="7" t="s">
        <v>38</v>
      </c>
      <c r="G43" s="7" t="s">
        <v>5</v>
      </c>
      <c r="H43" s="7" t="s">
        <v>39</v>
      </c>
      <c r="I43" s="7" t="s">
        <v>40</v>
      </c>
    </row>
    <row r="44" spans="2:9" ht="15.75" customHeight="1">
      <c r="B44" s="8" t="s">
        <v>33</v>
      </c>
      <c r="C44" s="8" t="s">
        <v>34</v>
      </c>
      <c r="D44" s="8" t="s">
        <v>10</v>
      </c>
      <c r="E44" s="9" t="s">
        <v>35</v>
      </c>
      <c r="F44" s="8" t="s">
        <v>36</v>
      </c>
      <c r="G44" s="8" t="s">
        <v>13</v>
      </c>
      <c r="H44" s="8" t="s">
        <v>14</v>
      </c>
      <c r="I44" s="8" t="s">
        <v>28</v>
      </c>
    </row>
    <row r="45" spans="2:9" ht="15.75" customHeight="1">
      <c r="B45" s="1"/>
      <c r="C45" s="10" t="s">
        <v>43</v>
      </c>
      <c r="D45" s="1"/>
      <c r="E45" s="1"/>
      <c r="F45" s="1"/>
      <c r="G45" s="10" t="s">
        <v>44</v>
      </c>
      <c r="H45" s="1"/>
      <c r="I45" s="10" t="s">
        <v>45</v>
      </c>
    </row>
    <row r="46" spans="2:9" ht="15.75" customHeight="1">
      <c r="B46" s="11" t="s">
        <v>79</v>
      </c>
      <c r="C46" s="32" t="s">
        <v>80</v>
      </c>
      <c r="D46" s="33"/>
      <c r="E46" s="33"/>
      <c r="F46" s="33"/>
      <c r="G46" s="1" t="s">
        <v>55</v>
      </c>
      <c r="H46" s="1"/>
      <c r="I46" s="13">
        <v>1</v>
      </c>
    </row>
    <row r="47" spans="2:9" ht="15.75" customHeight="1">
      <c r="B47" s="11" t="s">
        <v>81</v>
      </c>
      <c r="C47" s="32" t="s">
        <v>82</v>
      </c>
      <c r="D47" s="33"/>
      <c r="E47" s="33"/>
      <c r="F47" s="33"/>
      <c r="G47" s="1" t="s">
        <v>55</v>
      </c>
      <c r="H47" s="1"/>
      <c r="I47" s="13">
        <v>1</v>
      </c>
    </row>
    <row r="48" spans="2:9" ht="15.75" customHeight="1">
      <c r="B48" s="11" t="s">
        <v>83</v>
      </c>
      <c r="C48" s="32" t="s">
        <v>84</v>
      </c>
      <c r="D48" s="33"/>
      <c r="E48" s="33"/>
      <c r="F48" s="33"/>
      <c r="G48" s="1" t="s">
        <v>55</v>
      </c>
      <c r="H48" s="1"/>
      <c r="I48" s="11">
        <v>2</v>
      </c>
    </row>
    <row r="49" spans="2:9" ht="15.75" customHeight="1"/>
    <row r="50" spans="2:9" ht="15.75" customHeight="1"/>
    <row r="51" spans="2:9" ht="15.75" customHeight="1">
      <c r="B51" s="7" t="s">
        <v>0</v>
      </c>
      <c r="C51" s="7" t="s">
        <v>1</v>
      </c>
      <c r="D51" s="7" t="s">
        <v>2</v>
      </c>
      <c r="E51" s="7" t="s">
        <v>37</v>
      </c>
      <c r="F51" s="7" t="s">
        <v>38</v>
      </c>
      <c r="G51" s="7" t="s">
        <v>5</v>
      </c>
      <c r="H51" s="7" t="s">
        <v>39</v>
      </c>
      <c r="I51" s="7" t="s">
        <v>40</v>
      </c>
    </row>
    <row r="52" spans="2:9" ht="15.75" customHeight="1">
      <c r="B52" s="8" t="s">
        <v>96</v>
      </c>
      <c r="C52" s="8" t="s">
        <v>99</v>
      </c>
      <c r="D52" s="8" t="s">
        <v>10</v>
      </c>
      <c r="E52" s="9" t="s">
        <v>102</v>
      </c>
      <c r="F52" s="8" t="s">
        <v>103</v>
      </c>
      <c r="G52" s="8" t="s">
        <v>13</v>
      </c>
      <c r="H52" s="8" t="s">
        <v>14</v>
      </c>
      <c r="I52" s="8" t="s">
        <v>28</v>
      </c>
    </row>
    <row r="53" spans="2:9" ht="15.75" customHeight="1">
      <c r="B53" s="1"/>
      <c r="C53" s="10" t="s">
        <v>43</v>
      </c>
      <c r="D53" s="1"/>
      <c r="E53" s="1"/>
      <c r="F53" s="1"/>
      <c r="G53" s="10" t="s">
        <v>44</v>
      </c>
      <c r="H53" s="1"/>
      <c r="I53" s="10" t="s">
        <v>45</v>
      </c>
    </row>
    <row r="54" spans="2:9" ht="15.75" customHeight="1">
      <c r="B54" s="11" t="s">
        <v>107</v>
      </c>
      <c r="C54" s="32" t="s">
        <v>117</v>
      </c>
      <c r="D54" s="33"/>
      <c r="E54" s="33"/>
      <c r="F54" s="33"/>
      <c r="G54" s="1" t="s">
        <v>55</v>
      </c>
      <c r="H54" s="1"/>
      <c r="I54" s="13">
        <v>1</v>
      </c>
    </row>
    <row r="55" spans="2:9" ht="15.75" customHeight="1">
      <c r="B55" s="11" t="s">
        <v>108</v>
      </c>
      <c r="C55" s="32" t="s">
        <v>118</v>
      </c>
      <c r="D55" s="33"/>
      <c r="E55" s="33"/>
      <c r="F55" s="33"/>
      <c r="G55" s="1" t="s">
        <v>55</v>
      </c>
      <c r="H55" s="1"/>
      <c r="I55" s="13">
        <v>1</v>
      </c>
    </row>
    <row r="56" spans="2:9" ht="15.75" customHeight="1">
      <c r="B56" s="11" t="s">
        <v>109</v>
      </c>
      <c r="C56" s="32" t="s">
        <v>119</v>
      </c>
      <c r="D56" s="33"/>
      <c r="E56" s="33"/>
      <c r="F56" s="33"/>
      <c r="G56" s="1" t="s">
        <v>55</v>
      </c>
      <c r="H56" s="1"/>
      <c r="I56" s="11">
        <v>2</v>
      </c>
    </row>
    <row r="57" spans="2:9" ht="15.75" customHeight="1"/>
    <row r="58" spans="2:9" ht="15.75" customHeight="1"/>
    <row r="59" spans="2:9" ht="15.75" customHeight="1">
      <c r="B59" s="7" t="s">
        <v>0</v>
      </c>
      <c r="C59" s="7" t="s">
        <v>1</v>
      </c>
      <c r="D59" s="7" t="s">
        <v>2</v>
      </c>
      <c r="E59" s="7" t="s">
        <v>37</v>
      </c>
      <c r="F59" s="7" t="s">
        <v>38</v>
      </c>
      <c r="G59" s="7" t="s">
        <v>5</v>
      </c>
      <c r="H59" s="7" t="s">
        <v>39</v>
      </c>
      <c r="I59" s="7" t="s">
        <v>40</v>
      </c>
    </row>
    <row r="60" spans="2:9" ht="15.75" customHeight="1">
      <c r="B60" s="8" t="s">
        <v>97</v>
      </c>
      <c r="C60" s="8" t="s">
        <v>100</v>
      </c>
      <c r="D60" s="8" t="s">
        <v>10</v>
      </c>
      <c r="E60" s="9" t="s">
        <v>104</v>
      </c>
      <c r="F60" s="8" t="s">
        <v>104</v>
      </c>
      <c r="G60" s="8" t="s">
        <v>13</v>
      </c>
      <c r="H60" s="8" t="s">
        <v>14</v>
      </c>
      <c r="I60" s="8" t="s">
        <v>28</v>
      </c>
    </row>
    <row r="61" spans="2:9" ht="15.75" customHeight="1">
      <c r="B61" s="1"/>
      <c r="C61" s="10" t="s">
        <v>43</v>
      </c>
      <c r="D61" s="1"/>
      <c r="E61" s="1"/>
      <c r="F61" s="1"/>
      <c r="G61" s="10" t="s">
        <v>44</v>
      </c>
      <c r="H61" s="1"/>
      <c r="I61" s="10" t="s">
        <v>45</v>
      </c>
    </row>
    <row r="62" spans="2:9" ht="15.75" customHeight="1">
      <c r="B62" s="11" t="s">
        <v>110</v>
      </c>
      <c r="C62" s="32" t="s">
        <v>120</v>
      </c>
      <c r="D62" s="33"/>
      <c r="E62" s="33"/>
      <c r="F62" s="33"/>
      <c r="G62" s="1" t="s">
        <v>55</v>
      </c>
      <c r="H62" s="1"/>
      <c r="I62" s="13">
        <v>1</v>
      </c>
    </row>
    <row r="63" spans="2:9" ht="15.75" customHeight="1">
      <c r="B63" s="11" t="s">
        <v>111</v>
      </c>
      <c r="C63" s="32" t="s">
        <v>121</v>
      </c>
      <c r="D63" s="33"/>
      <c r="E63" s="33"/>
      <c r="F63" s="33"/>
      <c r="G63" s="1" t="s">
        <v>55</v>
      </c>
      <c r="H63" s="1"/>
      <c r="I63" s="13">
        <v>1</v>
      </c>
    </row>
    <row r="64" spans="2:9" ht="15.75" customHeight="1">
      <c r="B64" s="11" t="s">
        <v>112</v>
      </c>
      <c r="C64" s="32" t="s">
        <v>122</v>
      </c>
      <c r="D64" s="33"/>
      <c r="E64" s="33"/>
      <c r="F64" s="33"/>
      <c r="G64" s="1" t="s">
        <v>55</v>
      </c>
      <c r="H64" s="1"/>
      <c r="I64" s="11">
        <v>2</v>
      </c>
    </row>
    <row r="65" spans="2:9" ht="15.75" customHeight="1"/>
    <row r="66" spans="2:9" ht="15.75" customHeight="1"/>
    <row r="67" spans="2:9" ht="15.75" customHeight="1">
      <c r="B67" s="7" t="s">
        <v>0</v>
      </c>
      <c r="C67" s="7" t="s">
        <v>1</v>
      </c>
      <c r="D67" s="7" t="s">
        <v>2</v>
      </c>
      <c r="E67" s="7" t="s">
        <v>37</v>
      </c>
      <c r="F67" s="7" t="s">
        <v>38</v>
      </c>
      <c r="G67" s="7" t="s">
        <v>5</v>
      </c>
      <c r="H67" s="7" t="s">
        <v>39</v>
      </c>
      <c r="I67" s="7" t="s">
        <v>40</v>
      </c>
    </row>
    <row r="68" spans="2:9" ht="15.75" customHeight="1">
      <c r="B68" s="8" t="s">
        <v>98</v>
      </c>
      <c r="C68" s="8" t="s">
        <v>101</v>
      </c>
      <c r="D68" s="8" t="s">
        <v>10</v>
      </c>
      <c r="E68" s="9" t="s">
        <v>105</v>
      </c>
      <c r="F68" s="8" t="s">
        <v>106</v>
      </c>
      <c r="G68" s="8" t="s">
        <v>13</v>
      </c>
      <c r="H68" s="8" t="s">
        <v>14</v>
      </c>
      <c r="I68" s="8" t="s">
        <v>28</v>
      </c>
    </row>
    <row r="69" spans="2:9" ht="15.75" customHeight="1">
      <c r="B69" s="1"/>
      <c r="C69" s="10" t="s">
        <v>43</v>
      </c>
      <c r="D69" s="1"/>
      <c r="E69" s="1"/>
      <c r="F69" s="1"/>
      <c r="G69" s="10" t="s">
        <v>44</v>
      </c>
      <c r="H69" s="1"/>
      <c r="I69" s="10" t="s">
        <v>45</v>
      </c>
    </row>
    <row r="70" spans="2:9" ht="15.75" customHeight="1">
      <c r="B70" s="11" t="s">
        <v>113</v>
      </c>
      <c r="C70" s="32" t="s">
        <v>123</v>
      </c>
      <c r="D70" s="33"/>
      <c r="E70" s="33"/>
      <c r="F70" s="33"/>
      <c r="G70" s="1" t="s">
        <v>55</v>
      </c>
      <c r="H70" s="1"/>
      <c r="I70" s="13">
        <v>1</v>
      </c>
    </row>
    <row r="71" spans="2:9" ht="15.75" customHeight="1">
      <c r="B71" s="11" t="s">
        <v>114</v>
      </c>
      <c r="C71" s="32" t="s">
        <v>124</v>
      </c>
      <c r="D71" s="33"/>
      <c r="E71" s="33"/>
      <c r="F71" s="33"/>
      <c r="G71" s="1" t="s">
        <v>55</v>
      </c>
      <c r="H71" s="1"/>
      <c r="I71" s="13">
        <v>1</v>
      </c>
    </row>
    <row r="72" spans="2:9" ht="15.75" customHeight="1">
      <c r="B72" s="11" t="s">
        <v>115</v>
      </c>
      <c r="C72" s="32" t="s">
        <v>125</v>
      </c>
      <c r="D72" s="33"/>
      <c r="E72" s="33"/>
      <c r="F72" s="33"/>
      <c r="G72" s="1" t="s">
        <v>55</v>
      </c>
      <c r="H72" s="1"/>
      <c r="I72" s="11">
        <v>2</v>
      </c>
    </row>
    <row r="73" spans="2:9" ht="15.75" customHeight="1"/>
    <row r="74" spans="2:9" ht="15.75" customHeight="1"/>
    <row r="75" spans="2:9" ht="15.75" customHeight="1"/>
    <row r="76" spans="2:9" ht="15.75" customHeight="1"/>
    <row r="77" spans="2:9" ht="15.75" customHeight="1"/>
    <row r="78" spans="2:9" ht="15.75" customHeight="1"/>
    <row r="79" spans="2:9" ht="15.75" customHeight="1"/>
    <row r="80" spans="2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</sheetData>
  <mergeCells count="27">
    <mergeCell ref="C64:F64"/>
    <mergeCell ref="C70:F70"/>
    <mergeCell ref="C71:F71"/>
    <mergeCell ref="C72:F72"/>
    <mergeCell ref="C54:F54"/>
    <mergeCell ref="C55:F55"/>
    <mergeCell ref="C56:F56"/>
    <mergeCell ref="C62:F62"/>
    <mergeCell ref="C63:F63"/>
    <mergeCell ref="C6:F6"/>
    <mergeCell ref="C7:F7"/>
    <mergeCell ref="C8:F8"/>
    <mergeCell ref="C9:F9"/>
    <mergeCell ref="C14:F14"/>
    <mergeCell ref="C15:F15"/>
    <mergeCell ref="C22:F22"/>
    <mergeCell ref="C23:F23"/>
    <mergeCell ref="C24:F24"/>
    <mergeCell ref="C30:F30"/>
    <mergeCell ref="C46:F46"/>
    <mergeCell ref="C47:F47"/>
    <mergeCell ref="C48:F48"/>
    <mergeCell ref="C31:F31"/>
    <mergeCell ref="C32:F32"/>
    <mergeCell ref="C38:F38"/>
    <mergeCell ref="C39:F39"/>
    <mergeCell ref="C40:F40"/>
  </mergeCells>
  <phoneticPr fontId="13" type="noConversion"/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K996"/>
  <sheetViews>
    <sheetView workbookViewId="0">
      <selection activeCell="H53" sqref="H53"/>
    </sheetView>
  </sheetViews>
  <sheetFormatPr baseColWidth="10" defaultColWidth="12.5546875" defaultRowHeight="15" customHeight="1"/>
  <cols>
    <col min="1" max="1" width="12.5546875" customWidth="1"/>
    <col min="2" max="2" width="24.6640625" customWidth="1"/>
    <col min="3" max="3" width="12.5546875" customWidth="1"/>
    <col min="4" max="4" width="11.109375" customWidth="1"/>
    <col min="5" max="8" width="12.5546875" customWidth="1"/>
  </cols>
  <sheetData>
    <row r="1" spans="1:11" ht="15.75" customHeight="1"/>
    <row r="2" spans="1:11" ht="15.75" customHeight="1"/>
    <row r="3" spans="1:11" ht="15.75" customHeight="1">
      <c r="B3" s="1"/>
      <c r="C3" s="1" t="s">
        <v>45</v>
      </c>
      <c r="D3" s="1" t="s">
        <v>85</v>
      </c>
      <c r="E3" s="1" t="s">
        <v>86</v>
      </c>
      <c r="F3" s="1" t="s">
        <v>87</v>
      </c>
      <c r="G3" s="1" t="s">
        <v>88</v>
      </c>
      <c r="H3" s="1" t="s">
        <v>89</v>
      </c>
      <c r="I3" s="1" t="s">
        <v>90</v>
      </c>
      <c r="J3" s="1" t="s">
        <v>91</v>
      </c>
      <c r="K3" s="1" t="s">
        <v>92</v>
      </c>
    </row>
    <row r="4" spans="1:11" ht="15.75" customHeight="1">
      <c r="A4" t="s">
        <v>8</v>
      </c>
      <c r="B4" t="s">
        <v>46</v>
      </c>
      <c r="C4" s="2">
        <v>2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1</v>
      </c>
      <c r="K4" s="3">
        <v>2</v>
      </c>
    </row>
    <row r="5" spans="1:11" ht="15.75" customHeight="1">
      <c r="B5" t="s">
        <v>49</v>
      </c>
      <c r="C5" s="2">
        <v>1</v>
      </c>
      <c r="D5">
        <v>0</v>
      </c>
      <c r="E5">
        <v>0</v>
      </c>
      <c r="F5">
        <v>0</v>
      </c>
      <c r="G5">
        <v>0</v>
      </c>
      <c r="H5">
        <v>1</v>
      </c>
      <c r="I5">
        <v>0</v>
      </c>
      <c r="J5">
        <v>0</v>
      </c>
      <c r="K5" s="3">
        <v>1</v>
      </c>
    </row>
    <row r="6" spans="1:11" ht="15.75" customHeight="1">
      <c r="A6" s="1"/>
      <c r="B6" t="s">
        <v>51</v>
      </c>
      <c r="C6" s="2">
        <v>1</v>
      </c>
      <c r="D6">
        <v>0</v>
      </c>
      <c r="E6">
        <v>0</v>
      </c>
      <c r="F6">
        <v>1</v>
      </c>
      <c r="G6">
        <v>0</v>
      </c>
      <c r="H6">
        <v>0</v>
      </c>
      <c r="I6">
        <v>0</v>
      </c>
      <c r="J6">
        <v>0</v>
      </c>
      <c r="K6" s="3">
        <v>1</v>
      </c>
    </row>
    <row r="7" spans="1:11" ht="15.75" customHeight="1">
      <c r="A7" t="s">
        <v>16</v>
      </c>
      <c r="B7" t="s">
        <v>53</v>
      </c>
      <c r="C7" s="2">
        <v>2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 s="3">
        <v>2</v>
      </c>
    </row>
    <row r="8" spans="1:11" ht="15.75" customHeight="1">
      <c r="A8" s="1"/>
      <c r="B8" t="s">
        <v>56</v>
      </c>
      <c r="C8" s="2">
        <v>1</v>
      </c>
      <c r="D8">
        <v>0</v>
      </c>
      <c r="E8">
        <v>0</v>
      </c>
      <c r="F8">
        <v>0</v>
      </c>
      <c r="G8">
        <v>0</v>
      </c>
      <c r="H8">
        <v>1</v>
      </c>
      <c r="I8">
        <v>0</v>
      </c>
      <c r="J8">
        <v>0</v>
      </c>
      <c r="K8" s="3">
        <v>1</v>
      </c>
    </row>
    <row r="9" spans="1:11" ht="15.75" customHeight="1">
      <c r="A9" s="1"/>
      <c r="B9" t="s">
        <v>58</v>
      </c>
      <c r="C9" s="2">
        <v>1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 s="3">
        <v>1</v>
      </c>
    </row>
    <row r="10" spans="1:11" ht="15.75" customHeight="1">
      <c r="A10" t="s">
        <v>20</v>
      </c>
      <c r="B10" t="s">
        <v>60</v>
      </c>
      <c r="C10" s="2">
        <v>1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 s="3">
        <v>1</v>
      </c>
    </row>
    <row r="11" spans="1:11" ht="15.75" customHeight="1">
      <c r="A11" s="1"/>
      <c r="B11" t="s">
        <v>63</v>
      </c>
      <c r="C11" s="2">
        <v>2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1</v>
      </c>
      <c r="K11" s="3">
        <v>2</v>
      </c>
    </row>
    <row r="12" spans="1:11" ht="15.75" customHeight="1">
      <c r="A12" s="1"/>
      <c r="B12" t="s">
        <v>65</v>
      </c>
      <c r="C12" s="2">
        <v>1</v>
      </c>
      <c r="D12">
        <v>1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 s="3">
        <v>1</v>
      </c>
    </row>
    <row r="13" spans="1:11" ht="15.75" customHeight="1">
      <c r="A13" t="s">
        <v>24</v>
      </c>
      <c r="B13" t="s">
        <v>67</v>
      </c>
      <c r="C13" s="2">
        <v>1</v>
      </c>
      <c r="D13">
        <v>0</v>
      </c>
      <c r="E13">
        <v>0</v>
      </c>
      <c r="F13">
        <v>0</v>
      </c>
      <c r="G13">
        <v>0</v>
      </c>
      <c r="H13">
        <v>0</v>
      </c>
      <c r="I13">
        <v>1</v>
      </c>
      <c r="J13">
        <v>0</v>
      </c>
      <c r="K13" s="3">
        <v>1</v>
      </c>
    </row>
    <row r="14" spans="1:11" ht="15.75" customHeight="1">
      <c r="A14" s="1"/>
      <c r="B14" t="s">
        <v>69</v>
      </c>
      <c r="C14" s="2">
        <v>1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 s="3">
        <v>1</v>
      </c>
    </row>
    <row r="15" spans="1:11" ht="15.75" customHeight="1">
      <c r="A15" s="1"/>
      <c r="B15" t="s">
        <v>71</v>
      </c>
      <c r="C15" s="2">
        <v>2</v>
      </c>
      <c r="D15">
        <v>0</v>
      </c>
      <c r="E15">
        <v>0</v>
      </c>
      <c r="F15">
        <v>1</v>
      </c>
      <c r="G15">
        <v>0</v>
      </c>
      <c r="H15">
        <v>1</v>
      </c>
      <c r="I15">
        <v>0</v>
      </c>
      <c r="J15">
        <v>0</v>
      </c>
      <c r="K15" s="3">
        <v>2</v>
      </c>
    </row>
    <row r="16" spans="1:11" ht="15.75" customHeight="1">
      <c r="A16" t="s">
        <v>29</v>
      </c>
      <c r="B16" t="s">
        <v>73</v>
      </c>
      <c r="C16" s="2">
        <v>2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 s="3">
        <v>2</v>
      </c>
    </row>
    <row r="17" spans="1:11" ht="15.75" customHeight="1">
      <c r="A17" s="1"/>
      <c r="B17" t="s">
        <v>75</v>
      </c>
      <c r="C17" s="2">
        <v>1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 s="3">
        <v>1</v>
      </c>
    </row>
    <row r="18" spans="1:11" ht="15.75" customHeight="1">
      <c r="A18" s="1"/>
      <c r="B18" t="s">
        <v>77</v>
      </c>
      <c r="C18" s="2">
        <v>1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1</v>
      </c>
      <c r="K18" s="3">
        <v>1</v>
      </c>
    </row>
    <row r="19" spans="1:11" ht="15.75" customHeight="1">
      <c r="A19" t="s">
        <v>33</v>
      </c>
      <c r="B19" t="s">
        <v>79</v>
      </c>
      <c r="C19" s="2">
        <v>1</v>
      </c>
      <c r="D19">
        <v>1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 s="3">
        <v>1</v>
      </c>
    </row>
    <row r="20" spans="1:11" ht="15.75" customHeight="1">
      <c r="A20" s="1"/>
      <c r="B20" t="s">
        <v>81</v>
      </c>
      <c r="C20" s="2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 s="3">
        <v>1</v>
      </c>
    </row>
    <row r="21" spans="1:11" ht="15.75" customHeight="1">
      <c r="A21" s="1"/>
      <c r="B21" t="s">
        <v>83</v>
      </c>
      <c r="C21" s="2">
        <v>2</v>
      </c>
      <c r="D21">
        <v>0</v>
      </c>
      <c r="E21">
        <v>1</v>
      </c>
      <c r="F21">
        <v>0</v>
      </c>
      <c r="G21">
        <v>0</v>
      </c>
      <c r="H21">
        <v>1</v>
      </c>
      <c r="I21">
        <v>0</v>
      </c>
      <c r="J21">
        <v>0</v>
      </c>
      <c r="K21" s="3">
        <v>2</v>
      </c>
    </row>
    <row r="22" spans="1:11" ht="15.75" customHeight="1"/>
    <row r="23" spans="1:11" ht="15.75" customHeight="1">
      <c r="B23" s="4" t="s">
        <v>93</v>
      </c>
      <c r="C23" s="5">
        <f>SUM(C4:C21)</f>
        <v>24</v>
      </c>
      <c r="D23" s="5">
        <f t="shared" ref="D23:J23" si="0">C23-SUM(D4:D21)</f>
        <v>19</v>
      </c>
      <c r="E23" s="6">
        <f t="shared" si="0"/>
        <v>15</v>
      </c>
      <c r="F23" s="5">
        <f t="shared" si="0"/>
        <v>12</v>
      </c>
      <c r="G23" s="5">
        <f t="shared" si="0"/>
        <v>9</v>
      </c>
      <c r="H23" s="5">
        <f t="shared" si="0"/>
        <v>5</v>
      </c>
      <c r="I23" s="5">
        <f t="shared" si="0"/>
        <v>4</v>
      </c>
      <c r="J23" s="5">
        <f t="shared" si="0"/>
        <v>0</v>
      </c>
    </row>
    <row r="24" spans="1:11" ht="15.75" customHeight="1">
      <c r="B24" s="4" t="s">
        <v>94</v>
      </c>
      <c r="C24" s="5">
        <f>SUM(C4:C21)</f>
        <v>24</v>
      </c>
      <c r="D24" s="5">
        <f>C24-(SUM(C4:C21)/7)</f>
        <v>20.571428571428573</v>
      </c>
      <c r="E24" s="6">
        <f>D24-(SUM(C4:C21)/7)</f>
        <v>17.142857142857146</v>
      </c>
      <c r="F24" s="5">
        <f>E24-(SUM(C4:C21)/7)</f>
        <v>13.714285714285717</v>
      </c>
      <c r="G24" s="5">
        <f>F24-(SUM(C4:C21)/7)</f>
        <v>10.285714285714288</v>
      </c>
      <c r="H24" s="5">
        <f>G24-(SUM(C4:C21)/7)</f>
        <v>6.8571428571428594</v>
      </c>
      <c r="I24" s="5">
        <f>H24-(SUM(C4:C21)/7)</f>
        <v>3.428571428571431</v>
      </c>
      <c r="J24" s="5">
        <f>I24-(SUM(C4:C21)/7)</f>
        <v>0</v>
      </c>
    </row>
    <row r="25" spans="1:11" ht="15.75" customHeight="1"/>
    <row r="26" spans="1:11" ht="15.75" customHeight="1"/>
    <row r="27" spans="1:11" ht="15.75" customHeight="1">
      <c r="B27" s="31"/>
      <c r="C27" s="31"/>
      <c r="D27" s="31"/>
      <c r="E27" s="31"/>
    </row>
    <row r="28" spans="1:11" ht="15.75" customHeight="1">
      <c r="B28" s="31"/>
      <c r="C28" s="31"/>
      <c r="D28" s="31"/>
      <c r="E28" s="31"/>
    </row>
    <row r="29" spans="1:11" ht="15.75" customHeight="1">
      <c r="B29" s="31"/>
      <c r="C29" s="31"/>
      <c r="D29" s="31"/>
      <c r="E29" s="31"/>
    </row>
    <row r="30" spans="1:11" ht="15.75" customHeight="1">
      <c r="B30" s="31"/>
      <c r="C30" s="31"/>
      <c r="D30" s="31"/>
      <c r="E30" s="31"/>
    </row>
    <row r="31" spans="1:11" ht="15.75" customHeight="1">
      <c r="B31" s="31"/>
      <c r="C31" s="31"/>
      <c r="D31" s="31"/>
      <c r="E31" s="31"/>
    </row>
    <row r="32" spans="1:11" ht="15.75" customHeight="1">
      <c r="B32" s="31"/>
      <c r="C32" s="31"/>
      <c r="D32" s="31"/>
      <c r="E32" s="31"/>
    </row>
    <row r="33" spans="2:5" ht="15.75" customHeight="1">
      <c r="B33" s="31"/>
      <c r="C33" s="31"/>
      <c r="D33" s="31"/>
      <c r="E33" s="31"/>
    </row>
    <row r="34" spans="2:5" ht="15.75" customHeight="1">
      <c r="B34" s="31"/>
      <c r="C34" s="31"/>
      <c r="D34" s="31"/>
      <c r="E34" s="31"/>
    </row>
    <row r="35" spans="2:5" ht="15.75" customHeight="1">
      <c r="B35" s="31"/>
      <c r="C35" s="31"/>
      <c r="D35" s="31"/>
      <c r="E35" s="31"/>
    </row>
    <row r="36" spans="2:5" ht="15.75" customHeight="1">
      <c r="B36" s="31"/>
      <c r="C36" s="31"/>
      <c r="D36" s="31"/>
      <c r="E36" s="31"/>
    </row>
    <row r="37" spans="2:5" ht="15.75" customHeight="1">
      <c r="B37" s="31"/>
      <c r="C37" s="31"/>
      <c r="D37" s="31"/>
      <c r="E37" s="31"/>
    </row>
    <row r="38" spans="2:5" ht="15.75" customHeight="1"/>
    <row r="39" spans="2:5" ht="15.75" customHeight="1"/>
    <row r="40" spans="2:5" ht="15.75" customHeight="1"/>
    <row r="41" spans="2:5" ht="15.75" customHeight="1"/>
    <row r="42" spans="2:5" ht="15.75" customHeight="1"/>
    <row r="43" spans="2:5" ht="15.75" customHeight="1"/>
    <row r="44" spans="2:5" ht="15.75" customHeight="1"/>
    <row r="45" spans="2:5" ht="15.75" customHeight="1"/>
    <row r="46" spans="2:5" ht="15.75" customHeight="1"/>
    <row r="47" spans="2:5" ht="15.75" customHeight="1"/>
    <row r="48" spans="2: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</sheetData>
  <mergeCells count="1">
    <mergeCell ref="B27:E37"/>
  </mergeCells>
  <phoneticPr fontId="13" type="noConversion"/>
  <pageMargins left="0.7" right="0.7" top="0.75" bottom="0.75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Backlog</vt:lpstr>
      <vt:lpstr>Sprint1-2-3</vt:lpstr>
      <vt:lpstr>burdonchart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Leo Bolaños</cp:lastModifiedBy>
  <dcterms:created xsi:type="dcterms:W3CDTF">2023-01-13T00:08:00Z</dcterms:created>
  <dcterms:modified xsi:type="dcterms:W3CDTF">2026-07-06T14:28:49Z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04E1E889BB5A4222A882254EF6BE9D2C_12</vt:lpwstr>
  </property>
  <property fmtid="{D5CDD505-2E9C-101B-9397-08002B2CF9AE}" pid="3" name="KSOProductBuildVer">
    <vt:lpwstr>3082-12.1.0.26880</vt:lpwstr>
  </property>
  <property fmtid="{D5CDD505-2E9C-101B-9397-08002B2CF9AE}" pid="4" name="CalculationRule">
    <vt:i4>0</vt:i4>
  </property>
</Properties>
</file>