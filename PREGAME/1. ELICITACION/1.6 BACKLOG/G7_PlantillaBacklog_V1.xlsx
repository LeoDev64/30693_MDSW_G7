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0DDD711-193F-4086-8D66-5EF7A7DDA4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1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3" l="1"/>
  <c r="D9" i="3" s="1"/>
  <c r="E9" i="3" s="1"/>
  <c r="F9" i="3" s="1"/>
  <c r="G9" i="3" s="1"/>
  <c r="H9" i="3" s="1"/>
  <c r="I9" i="3" s="1"/>
  <c r="J9" i="3" s="1"/>
  <c r="C10" i="3"/>
  <c r="D10" i="3" s="1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<sst xmlns="http://schemas.openxmlformats.org/spreadsheetml/2006/main" count="137" uniqueCount="69">
  <si>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</si>
  <si>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</si>
  <si>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</si>
  <si>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</si>
  <si>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</si>
  <si>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</si>
  <si>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</si>
  <si>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</si>
  <si>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</si>
  <si>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Control de acceso al sistema</t>
  </si>
  <si>
    <t>Administrador</t>
  </si>
  <si>
    <t>Autenticar el ingreso mediante usuario y contraseña</t>
  </si>
  <si>
    <t>Restringir el ingreso y proteger la información confidencial de ventas y servicios</t>
  </si>
  <si>
    <t>-</t>
  </si>
  <si>
    <t>Alta</t>
  </si>
  <si>
    <t>En proceso</t>
  </si>
  <si>
    <t>REQ002</t>
  </si>
  <si>
    <t>Registro de datos</t>
  </si>
  <si>
    <t>Guardar los datos de los usuarios</t>
  </si>
  <si>
    <t>Gestionar la informacion del usuario para dar seguimiento en el proceso</t>
  </si>
  <si>
    <t>REQ003</t>
  </si>
  <si>
    <t>Venta de Productos (Tienda)</t>
  </si>
  <si>
    <t>Registrar productos con nombre y precio fijo</t>
  </si>
  <si>
    <t>Agilizar el cobro y mantener un control claro sobre las ventas de mostrador</t>
  </si>
  <si>
    <t>Necesito</t>
  </si>
  <si>
    <t>así podre...</t>
  </si>
  <si>
    <t>Prioridad</t>
  </si>
  <si>
    <t>Status</t>
  </si>
  <si>
    <t>REQ001	Restringir el ingreso y proteger la información confidencial de ventas y servicios	-	Alta	En proceso</t>
  </si>
  <si>
    <t xml:space="preserve">Control de acceso al sistema	</t>
  </si>
  <si>
    <t>Tareas</t>
  </si>
  <si>
    <t>Asignado</t>
  </si>
  <si>
    <t>Estimado</t>
  </si>
  <si>
    <t>REQ001-1</t>
  </si>
  <si>
    <t>Crear interfaz de uso lenguaje JAVA para inicio de sesión y menú principal</t>
  </si>
  <si>
    <t>Martin Palacios</t>
  </si>
  <si>
    <t>REQ001-2</t>
  </si>
  <si>
    <t>Creación de la base de datos usuario y contraseña</t>
  </si>
  <si>
    <t>REQ001-3</t>
  </si>
  <si>
    <t>Establecer localhost xampp para conexión en la base de datos</t>
  </si>
  <si>
    <t>REQ001-4</t>
  </si>
  <si>
    <t>REQ002-1</t>
  </si>
  <si>
    <t>Crear formulario para registrar datos del cliente</t>
  </si>
  <si>
    <t>Leopoldo Bolaños</t>
  </si>
  <si>
    <t>REQ002-2</t>
  </si>
  <si>
    <t>Registrar información del cliente en la base de datos</t>
  </si>
  <si>
    <t>REQ002-3</t>
  </si>
  <si>
    <t>Validar campos obligatorios como nombre, celular y correo</t>
  </si>
  <si>
    <t>REQ002-4</t>
  </si>
  <si>
    <t>Guardar y consultar información del cliente en el sistema</t>
  </si>
  <si>
    <t>REQ003-1</t>
  </si>
  <si>
    <t>Crear catálogo de productos con nombre y precio fijo</t>
  </si>
  <si>
    <t>Matias Medina</t>
  </si>
  <si>
    <t>REQ003-2</t>
  </si>
  <si>
    <t>Registrar productos con nombre y precio fijo en la base de datos</t>
  </si>
  <si>
    <t>REQ003-3</t>
  </si>
  <si>
    <t>Implementar selección de productos y cálculo automático del total</t>
  </si>
  <si>
    <t>REQ003-4</t>
  </si>
  <si>
    <t>Generar registro de ventas realizadas en el sistema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</si>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</sst>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10"/>
      <color rgb="FF4472C4"/>
      <name val="Arial"/>
      <family val="2"/>
    </font>
    <font>
      <sz val="10"/>
      <color rgb="FF000000"/>
      <name val="Arial"/>
    </font>
    <font>
      <sz val="10"/>
      <color rgb="FF4472C4"/>
      <name val="Arial"/>
      <charset val="1"/>
    </font>
    <font>
      <sz val="10"/>
      <color theme="4"/>
      <name val="Arial"/>
      <scheme val="minor"/>
    </font>
    <font>
      <b/>
      <sz val="10"/>
      <color rgb="FF000000"/>
      <name val="Arial"/>
      <scheme val="minor"/>
    </font>
    <font>
      <u/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1" fillId="0" borderId="0" xfId="0" applyFont="1"/>
    <xf numFmtId="0" fontId="2" fillId="4" borderId="2" xfId="0" applyFont="1" applyFill="1" applyBorder="1"/>
    <xf numFmtId="0" fontId="2" fillId="0" borderId="2" xfId="0" applyFont="1" applyBorder="1"/>
    <xf numFmtId="0" fontId="3" fillId="2" borderId="2" xfId="0" applyFont="1" applyFill="1" applyBorder="1"/>
    <xf numFmtId="0" fontId="1" fillId="0" borderId="3" xfId="0" applyFont="1" applyBorder="1" applyAlignment="1">
      <alignment horizontal="center"/>
    </xf>
    <xf numFmtId="0" fontId="4" fillId="3" borderId="1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6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6" fillId="0" borderId="3" xfId="0" applyFont="1" applyBorder="1"/>
    <xf numFmtId="0" fontId="0" fillId="0" borderId="1" xfId="0" applyBorder="1"/>
    <xf numFmtId="0" fontId="5" fillId="0" borderId="0" xfId="0" applyFont="1"/>
    <xf numFmtId="0" fontId="8" fillId="0" borderId="3" xfId="0" applyFont="1" applyBorder="1"/>
    <xf numFmtId="0" fontId="11" fillId="0" borderId="4" xfId="0" applyFont="1" applyBorder="1"/>
    <xf numFmtId="0" fontId="9" fillId="0" borderId="4" xfId="0" applyFont="1" applyBorder="1"/>
    <xf numFmtId="0" fontId="6" fillId="0" borderId="4" xfId="0" applyFont="1" applyBorder="1"/>
    <xf numFmtId="0" fontId="10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8" fillId="0" borderId="5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1" fillId="0" borderId="6" xfId="0" applyFont="1" applyBorder="1" applyAlignment="1">
      <alignment horizontal="center"/>
    </xf>
    <xf numFmtId="0" fontId="9" fillId="0" borderId="11" xfId="0" applyFont="1" applyBorder="1"/>
    <xf numFmtId="0" fontId="12" fillId="0" borderId="0" xfId="0" applyFont="1"/>
    <xf numFmtId="0" fontId="1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9.4285714285714288</c:v>
                </c:pt>
                <c:pt idx="3">
                  <c:v>7.8571428571428577</c:v>
                </c:pt>
                <c:pt idx="4">
                  <c:v>6.2857142857142865</c:v>
                </c:pt>
                <c:pt idx="5">
                  <c:v>4.7142857142857153</c:v>
                </c:pt>
                <c:pt idx="6">
                  <c:v>3.1428571428571441</c:v>
                </c:pt>
                <c:pt idx="7">
                  <c:v>1.5714285714285727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opLeftCell="C1" zoomScale="130" zoomScaleNormal="130" workbookViewId="0">
      <selection activeCell="A4" sqref="A4"/>
    </sheetView>
  </sheetViews>
  <sheetFormatPr baseColWidth="10" defaultColWidth="12.5546875" defaultRowHeight="15" customHeight="1" x14ac:dyDescent="0.25"/>
  <cols>
    <col min="1" max="1" width="12.5546875" customWidth="1"/>
    <col min="2" max="2" width="34.88671875" bestFit="1" customWidth="1"/>
    <col min="3" max="3" width="16.88671875" customWidth="1"/>
    <col min="4" max="4" width="33.44140625" customWidth="1"/>
    <col min="5" max="5" width="68.6640625" customWidth="1"/>
    <col min="6" max="6" width="12.5546875" customWidth="1"/>
  </cols>
  <sheetData>
    <row r="1" spans="1:9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31" t="s">
        <v>5</v>
      </c>
      <c r="G1" s="8" t="s">
        <v>6</v>
      </c>
      <c r="H1" s="8" t="s">
        <v>7</v>
      </c>
    </row>
    <row r="2" spans="1:9" ht="15.75" customHeight="1" x14ac:dyDescent="0.25">
      <c r="A2" s="16" t="s">
        <v>8</v>
      </c>
      <c r="B2" s="19" t="s">
        <v>9</v>
      </c>
      <c r="C2" s="19" t="s">
        <v>10</v>
      </c>
      <c r="D2" s="25" t="s">
        <v>11</v>
      </c>
      <c r="E2" s="27" t="s">
        <v>12</v>
      </c>
      <c r="F2" s="21" t="s">
        <v>13</v>
      </c>
      <c r="G2" s="29" t="s">
        <v>14</v>
      </c>
      <c r="H2" s="16" t="s">
        <v>15</v>
      </c>
    </row>
    <row r="3" spans="1:9" ht="15.75" customHeight="1" x14ac:dyDescent="0.25">
      <c r="A3" s="16" t="s">
        <v>16</v>
      </c>
      <c r="B3" s="25" t="s">
        <v>17</v>
      </c>
      <c r="C3" s="16" t="s">
        <v>10</v>
      </c>
      <c r="D3" s="25" t="s">
        <v>18</v>
      </c>
      <c r="E3" s="28" t="s">
        <v>19</v>
      </c>
      <c r="F3" s="21" t="s">
        <v>13</v>
      </c>
      <c r="G3" s="30" t="s">
        <v>14</v>
      </c>
      <c r="H3" s="25" t="s">
        <v>15</v>
      </c>
    </row>
    <row r="4" spans="1:9" ht="15.75" customHeight="1" x14ac:dyDescent="0.25">
      <c r="A4" s="24" t="s">
        <v>20</v>
      </c>
      <c r="B4" s="20" t="s">
        <v>21</v>
      </c>
      <c r="C4" s="26" t="s">
        <v>10</v>
      </c>
      <c r="D4" s="20" t="s">
        <v>22</v>
      </c>
      <c r="E4" s="20" t="s">
        <v>23</v>
      </c>
      <c r="F4" s="32" t="s">
        <v>13</v>
      </c>
      <c r="G4" s="22" t="s">
        <v>14</v>
      </c>
      <c r="H4" s="23" t="s">
        <v>15</v>
      </c>
      <c r="I4" s="17"/>
    </row>
    <row r="5" spans="1:9" ht="15.75" customHeight="1" x14ac:dyDescent="0.25">
      <c r="B5" s="17"/>
      <c r="D5" s="17"/>
      <c r="E5" s="17"/>
      <c r="F5" s="17"/>
      <c r="G5" s="17"/>
      <c r="H5" s="12"/>
      <c r="I5" s="17"/>
    </row>
    <row r="6" spans="1:9" ht="15.75" customHeight="1" x14ac:dyDescent="0.25">
      <c r="H6" s="17"/>
    </row>
    <row r="7" spans="1:9" ht="15.75" customHeight="1" x14ac:dyDescent="0.25"/>
    <row r="8" spans="1:9" ht="15.75" customHeight="1" x14ac:dyDescent="0.25"/>
    <row r="9" spans="1:9" ht="15.75" customHeight="1" x14ac:dyDescent="0.25"/>
    <row r="10" spans="1:9" ht="15.75" customHeight="1" x14ac:dyDescent="0.25"/>
    <row r="11" spans="1:9" ht="15.75" customHeight="1" x14ac:dyDescent="0.25"/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962"/>
  <sheetViews>
    <sheetView tabSelected="1" zoomScaleNormal="100" workbookViewId="0">
      <selection activeCell="J8" sqref="J8"/>
    </sheetView>
  </sheetViews>
  <sheetFormatPr baseColWidth="10" defaultColWidth="12.5546875" defaultRowHeight="15" customHeight="1" x14ac:dyDescent="0.25"/>
  <cols>
    <col min="1" max="2" width="12.5546875" customWidth="1"/>
    <col min="3" max="3" width="23.88671875" bestFit="1" customWidth="1"/>
    <col min="4" max="4" width="20.44140625" bestFit="1" customWidth="1"/>
    <col min="5" max="5" width="41.33203125" bestFit="1" customWidth="1"/>
    <col min="6" max="6" width="56.109375" customWidth="1"/>
    <col min="7" max="7" width="29" bestFit="1" customWidth="1"/>
  </cols>
  <sheetData>
    <row r="1" spans="2:11" ht="15.75" customHeight="1" x14ac:dyDescent="0.25"/>
    <row r="2" spans="2:11" ht="15.75" customHeight="1" x14ac:dyDescent="0.25"/>
    <row r="3" spans="2:11" ht="15.75" customHeight="1" x14ac:dyDescent="0.25">
      <c r="B3" s="1" t="s">
        <v>0</v>
      </c>
      <c r="C3" s="1" t="s">
        <v>1</v>
      </c>
      <c r="D3" s="1" t="s">
        <v>2</v>
      </c>
      <c r="E3" s="1" t="s">
        <v>24</v>
      </c>
      <c r="F3" s="1" t="s">
        <v>25</v>
      </c>
      <c r="G3" s="1" t="s">
        <v>5</v>
      </c>
      <c r="H3" s="1" t="s">
        <v>26</v>
      </c>
      <c r="I3" s="1" t="s">
        <v>27</v>
      </c>
    </row>
    <row r="4" spans="2:11" ht="15.75" customHeight="1" x14ac:dyDescent="0.25">
      <c r="B4" s="3" t="s">
        <v>28</v>
      </c>
      <c r="C4" s="3" t="s">
        <v>29</v>
      </c>
      <c r="D4" s="3" t="s">
        <v>10</v>
      </c>
      <c r="E4" s="9" t="s">
        <v>11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2:11" ht="15.75" customHeight="1" x14ac:dyDescent="0.25">
      <c r="B5" s="2"/>
      <c r="C5" s="4" t="s">
        <v>30</v>
      </c>
      <c r="D5" s="2"/>
      <c r="E5" s="2"/>
      <c r="F5" s="2"/>
      <c r="G5" s="4" t="s">
        <v>31</v>
      </c>
      <c r="H5" s="2"/>
      <c r="I5" s="4" t="s">
        <v>32</v>
      </c>
    </row>
    <row r="6" spans="2:11" ht="15.75" customHeight="1" x14ac:dyDescent="0.25">
      <c r="B6" s="11" t="s">
        <v>33</v>
      </c>
      <c r="C6" s="35" t="s">
        <v>34</v>
      </c>
      <c r="D6" s="36"/>
      <c r="E6" s="36"/>
      <c r="F6" s="36"/>
      <c r="G6" s="2" t="s">
        <v>35</v>
      </c>
      <c r="H6" s="2"/>
      <c r="I6" s="10">
        <v>4</v>
      </c>
    </row>
    <row r="7" spans="2:11" ht="15.75" customHeight="1" x14ac:dyDescent="0.25">
      <c r="B7" s="11" t="s">
        <v>36</v>
      </c>
      <c r="C7" s="35" t="s">
        <v>37</v>
      </c>
      <c r="D7" s="36"/>
      <c r="E7" s="36"/>
      <c r="F7" s="36"/>
      <c r="G7" s="2" t="s">
        <v>35</v>
      </c>
      <c r="H7" s="2"/>
      <c r="I7" s="10">
        <v>1</v>
      </c>
    </row>
    <row r="8" spans="2:11" ht="15.75" customHeight="1" x14ac:dyDescent="0.25">
      <c r="B8" s="11" t="s">
        <v>38</v>
      </c>
      <c r="C8" s="35" t="s">
        <v>39</v>
      </c>
      <c r="D8" s="36"/>
      <c r="E8" s="36"/>
      <c r="F8" s="36"/>
      <c r="G8" s="2" t="s">
        <v>35</v>
      </c>
      <c r="H8" s="2"/>
      <c r="I8" s="11">
        <v>2</v>
      </c>
    </row>
    <row r="9" spans="2:11" ht="15.75" customHeight="1" x14ac:dyDescent="0.25">
      <c r="B9" s="13"/>
      <c r="C9" s="37"/>
      <c r="D9" s="37"/>
      <c r="E9" s="37"/>
      <c r="F9" s="37"/>
      <c r="G9" s="2"/>
      <c r="H9" s="1"/>
      <c r="I9" s="10"/>
    </row>
    <row r="10" spans="2:11" ht="15.75" customHeight="1" x14ac:dyDescent="0.25">
      <c r="B10" s="12"/>
      <c r="C10" s="12"/>
      <c r="D10" s="12"/>
      <c r="E10" s="12"/>
      <c r="F10" s="12"/>
      <c r="G10" s="12"/>
      <c r="H10" s="12"/>
      <c r="I10" s="12"/>
    </row>
    <row r="11" spans="2:11" ht="15.75" customHeight="1" x14ac:dyDescent="0.25">
      <c r="B11" s="1" t="s">
        <v>0</v>
      </c>
      <c r="C11" s="1" t="s">
        <v>1</v>
      </c>
      <c r="D11" s="1" t="s">
        <v>2</v>
      </c>
      <c r="E11" s="1" t="s">
        <v>24</v>
      </c>
      <c r="F11" s="1" t="s">
        <v>25</v>
      </c>
      <c r="G11" s="1" t="s">
        <v>5</v>
      </c>
      <c r="H11" s="1" t="s">
        <v>26</v>
      </c>
      <c r="I11" s="1" t="s">
        <v>27</v>
      </c>
    </row>
    <row r="12" spans="2:11" ht="15.75" customHeight="1" x14ac:dyDescent="0.25">
      <c r="B12" s="3" t="s">
        <v>16</v>
      </c>
      <c r="C12" s="3" t="s">
        <v>17</v>
      </c>
      <c r="D12" s="3" t="s">
        <v>10</v>
      </c>
      <c r="E12" s="9" t="s">
        <v>18</v>
      </c>
      <c r="F12" s="3" t="s">
        <v>19</v>
      </c>
      <c r="G12" s="3" t="s">
        <v>13</v>
      </c>
      <c r="H12" s="3" t="s">
        <v>14</v>
      </c>
      <c r="I12" s="3" t="s">
        <v>15</v>
      </c>
    </row>
    <row r="13" spans="2:11" ht="15.75" customHeight="1" x14ac:dyDescent="0.25">
      <c r="B13" s="2"/>
      <c r="C13" s="4" t="s">
        <v>30</v>
      </c>
      <c r="D13" s="2"/>
      <c r="E13" s="2"/>
      <c r="F13" s="2"/>
      <c r="G13" s="4" t="s">
        <v>31</v>
      </c>
      <c r="H13" s="2"/>
      <c r="I13" s="4" t="s">
        <v>32</v>
      </c>
    </row>
    <row r="14" spans="2:11" ht="15.75" customHeight="1" x14ac:dyDescent="0.25">
      <c r="B14" s="11" t="s">
        <v>41</v>
      </c>
      <c r="C14" s="35" t="s">
        <v>42</v>
      </c>
      <c r="D14" s="36"/>
      <c r="E14" s="36"/>
      <c r="F14" s="36"/>
      <c r="G14" s="2" t="s">
        <v>43</v>
      </c>
      <c r="H14" s="2"/>
      <c r="I14" s="10">
        <v>4</v>
      </c>
    </row>
    <row r="15" spans="2:11" ht="15.75" customHeight="1" x14ac:dyDescent="0.25">
      <c r="B15" s="11" t="s">
        <v>44</v>
      </c>
      <c r="C15" s="35" t="s">
        <v>45</v>
      </c>
      <c r="D15" s="36"/>
      <c r="E15" s="36"/>
      <c r="F15" s="36"/>
      <c r="G15" s="2" t="s">
        <v>43</v>
      </c>
      <c r="H15" s="2"/>
      <c r="I15" s="10">
        <v>1</v>
      </c>
      <c r="K15" s="34"/>
    </row>
    <row r="16" spans="2:11" ht="15.75" customHeight="1" x14ac:dyDescent="0.25">
      <c r="B16" s="11" t="s">
        <v>46</v>
      </c>
      <c r="C16" t="s">
        <v>47</v>
      </c>
      <c r="D16" s="18"/>
      <c r="E16" s="18"/>
      <c r="F16" s="18"/>
      <c r="G16" s="2" t="s">
        <v>43</v>
      </c>
      <c r="H16" s="2"/>
      <c r="I16" s="11">
        <v>2</v>
      </c>
    </row>
    <row r="17" spans="2:9" ht="15.75" customHeight="1" x14ac:dyDescent="0.25">
      <c r="B17" s="11" t="s">
        <v>48</v>
      </c>
      <c r="C17" s="37" t="s">
        <v>49</v>
      </c>
      <c r="D17" s="37"/>
      <c r="E17" s="37"/>
      <c r="F17" s="37"/>
      <c r="G17" s="2" t="s">
        <v>43</v>
      </c>
      <c r="H17" s="1"/>
      <c r="I17" s="10">
        <v>4</v>
      </c>
    </row>
    <row r="18" spans="2:9" ht="15.75" customHeight="1" x14ac:dyDescent="0.25"/>
    <row r="19" spans="2:9" ht="15.75" customHeight="1" x14ac:dyDescent="0.25"/>
    <row r="20" spans="2:9" ht="15.75" customHeight="1" x14ac:dyDescent="0.25">
      <c r="B20" s="1" t="s">
        <v>0</v>
      </c>
      <c r="C20" s="1" t="s">
        <v>1</v>
      </c>
      <c r="D20" s="1" t="s">
        <v>2</v>
      </c>
      <c r="E20" s="1" t="s">
        <v>24</v>
      </c>
      <c r="F20" s="1" t="s">
        <v>25</v>
      </c>
      <c r="G20" s="1" t="s">
        <v>5</v>
      </c>
      <c r="H20" s="1" t="s">
        <v>26</v>
      </c>
      <c r="I20" s="1" t="s">
        <v>27</v>
      </c>
    </row>
    <row r="21" spans="2:9" ht="15.75" customHeight="1" x14ac:dyDescent="0.25">
      <c r="B21" s="3" t="s">
        <v>20</v>
      </c>
      <c r="C21" s="3" t="s">
        <v>21</v>
      </c>
      <c r="D21" s="3" t="s">
        <v>10</v>
      </c>
      <c r="E21" s="9" t="s">
        <v>22</v>
      </c>
      <c r="F21" s="3" t="s">
        <v>23</v>
      </c>
      <c r="G21" s="3" t="s">
        <v>13</v>
      </c>
      <c r="H21" s="3" t="s">
        <v>14</v>
      </c>
      <c r="I21" s="3" t="s">
        <v>15</v>
      </c>
    </row>
    <row r="22" spans="2:9" ht="15.75" customHeight="1" x14ac:dyDescent="0.25">
      <c r="B22" s="2"/>
      <c r="C22" s="4" t="s">
        <v>30</v>
      </c>
      <c r="D22" s="2"/>
      <c r="E22" s="2"/>
      <c r="F22" s="2"/>
      <c r="G22" s="4" t="s">
        <v>31</v>
      </c>
      <c r="H22" s="2"/>
      <c r="I22" s="4" t="s">
        <v>32</v>
      </c>
    </row>
    <row r="23" spans="2:9" ht="15.75" customHeight="1" x14ac:dyDescent="0.25">
      <c r="B23" s="11" t="s">
        <v>50</v>
      </c>
      <c r="C23" s="35" t="s">
        <v>51</v>
      </c>
      <c r="D23" s="36"/>
      <c r="E23" s="36"/>
      <c r="F23" s="36"/>
      <c r="G23" s="2" t="s">
        <v>52</v>
      </c>
      <c r="H23" s="2"/>
      <c r="I23" s="10">
        <v>4</v>
      </c>
    </row>
    <row r="24" spans="2:9" ht="15.75" customHeight="1" x14ac:dyDescent="0.25">
      <c r="B24" s="11" t="s">
        <v>53</v>
      </c>
      <c r="C24" s="35" t="s">
        <v>54</v>
      </c>
      <c r="D24" s="36"/>
      <c r="E24" s="36"/>
      <c r="F24" s="36"/>
      <c r="G24" s="2" t="s">
        <v>52</v>
      </c>
      <c r="H24" s="2"/>
      <c r="I24" s="10">
        <v>1</v>
      </c>
    </row>
    <row r="25" spans="2:9" ht="15.75" customHeight="1" x14ac:dyDescent="0.25">
      <c r="B25" s="11" t="s">
        <v>55</v>
      </c>
      <c r="C25" s="35" t="s">
        <v>56</v>
      </c>
      <c r="D25" s="36"/>
      <c r="E25" s="36"/>
      <c r="F25" s="36"/>
      <c r="G25" s="2" t="s">
        <v>52</v>
      </c>
      <c r="H25" s="2"/>
      <c r="I25" s="11">
        <v>2</v>
      </c>
    </row>
    <row r="26" spans="2:9" ht="15.75" customHeight="1" x14ac:dyDescent="0.25">
      <c r="B26" s="11" t="s">
        <v>57</v>
      </c>
      <c r="C26" s="37" t="s">
        <v>58</v>
      </c>
      <c r="D26" s="37"/>
      <c r="E26" s="37"/>
      <c r="F26" s="37"/>
      <c r="G26" s="2" t="s">
        <v>52</v>
      </c>
      <c r="H26" s="1"/>
      <c r="I26" s="10">
        <v>4</v>
      </c>
    </row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spans="2:5" ht="15.75" customHeight="1" x14ac:dyDescent="0.25"/>
    <row r="34" spans="2:5" ht="15.75" customHeight="1" x14ac:dyDescent="0.25"/>
    <row r="35" spans="2:5" ht="15.75" customHeight="1" x14ac:dyDescent="0.25">
      <c r="B35" s="33"/>
      <c r="C35" s="33"/>
      <c r="D35" s="33"/>
      <c r="E35" s="33"/>
    </row>
    <row r="36" spans="2:5" ht="15.75" customHeight="1" x14ac:dyDescent="0.25"/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mergeCells count="11">
    <mergeCell ref="C25:F25"/>
    <mergeCell ref="C26:F26"/>
    <mergeCell ref="C15:F15"/>
    <mergeCell ref="C17:F17"/>
    <mergeCell ref="C23:F23"/>
    <mergeCell ref="C24:F24"/>
    <mergeCell ref="C6:F6"/>
    <mergeCell ref="C7:F7"/>
    <mergeCell ref="C8:F8"/>
    <mergeCell ref="C9:F9"/>
    <mergeCell ref="C14:F14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Normal="100" workbookViewId="0">
      <selection activeCell="B19" sqref="B19:E29"/>
    </sheetView>
  </sheetViews>
  <sheetFormatPr baseColWidth="10" defaultColWidth="12.5546875" defaultRowHeight="15" customHeight="1" x14ac:dyDescent="0.25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"/>
      <c r="C3" s="2" t="s">
        <v>32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</row>
    <row r="4" spans="1:11" ht="15.75" customHeight="1" x14ac:dyDescent="0.25">
      <c r="B4" t="s">
        <v>33</v>
      </c>
      <c r="C4" s="15">
        <v>4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14">
        <v>4</v>
      </c>
    </row>
    <row r="5" spans="1:11" ht="15.75" customHeight="1" x14ac:dyDescent="0.25">
      <c r="B5" t="s">
        <v>36</v>
      </c>
      <c r="C5" s="1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14">
        <v>1</v>
      </c>
    </row>
    <row r="6" spans="1:11" ht="15.75" customHeight="1" x14ac:dyDescent="0.25">
      <c r="A6" s="2"/>
      <c r="B6" t="s">
        <v>38</v>
      </c>
      <c r="C6" s="15">
        <v>2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14">
        <v>2</v>
      </c>
    </row>
    <row r="7" spans="1:11" ht="15.75" customHeight="1" x14ac:dyDescent="0.25">
      <c r="A7" s="2"/>
      <c r="B7" t="s">
        <v>40</v>
      </c>
      <c r="C7" s="15">
        <v>4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14">
        <v>4</v>
      </c>
    </row>
    <row r="8" spans="1:11" ht="15.75" customHeight="1" x14ac:dyDescent="0.25"/>
    <row r="9" spans="1:11" ht="15.75" customHeight="1" x14ac:dyDescent="0.45">
      <c r="B9" s="5" t="s">
        <v>67</v>
      </c>
      <c r="C9" s="6">
        <f>SUM(C4:C7)</f>
        <v>11</v>
      </c>
      <c r="D9" s="6">
        <f t="shared" ref="D9:J9" si="0">C9-SUM(D4:D7)</f>
        <v>8</v>
      </c>
      <c r="E9" s="7">
        <f t="shared" si="0"/>
        <v>6</v>
      </c>
      <c r="F9" s="6">
        <f t="shared" si="0"/>
        <v>4</v>
      </c>
      <c r="G9" s="6">
        <f t="shared" si="0"/>
        <v>3</v>
      </c>
      <c r="H9" s="6">
        <f t="shared" si="0"/>
        <v>3</v>
      </c>
      <c r="I9" s="6">
        <f t="shared" si="0"/>
        <v>1</v>
      </c>
      <c r="J9" s="6">
        <f t="shared" si="0"/>
        <v>0</v>
      </c>
    </row>
    <row r="10" spans="1:11" ht="15.75" customHeight="1" x14ac:dyDescent="0.45">
      <c r="B10" s="5" t="s">
        <v>68</v>
      </c>
      <c r="C10" s="6">
        <f>SUM(C4:C7)</f>
        <v>11</v>
      </c>
      <c r="D10" s="6">
        <f>C10-(SUM(C4:C7)/7)</f>
        <v>9.4285714285714288</v>
      </c>
      <c r="E10" s="7">
        <f>D10-(SUM(C4:C7)/7)</f>
        <v>7.8571428571428577</v>
      </c>
      <c r="F10" s="6">
        <f>E10-(SUM(C4:C7)/7)</f>
        <v>6.2857142857142865</v>
      </c>
      <c r="G10" s="6">
        <f>F10-(SUM(C4:C7)/7)</f>
        <v>4.7142857142857153</v>
      </c>
      <c r="H10" s="6">
        <f>G10-(SUM(C4:C7)/7)</f>
        <v>3.1428571428571441</v>
      </c>
      <c r="I10" s="6">
        <f>H10-(SUM(C4:C7)/7)</f>
        <v>1.5714285714285727</v>
      </c>
      <c r="J10" s="6">
        <f>I10-(SUM(C4:C7)/7)</f>
        <v>0</v>
      </c>
    </row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>
      <c r="B19" s="38"/>
      <c r="C19" s="38"/>
      <c r="D19" s="38"/>
      <c r="E19" s="38"/>
    </row>
    <row r="20" spans="2:5" ht="15.75" customHeight="1" x14ac:dyDescent="0.25">
      <c r="B20" s="38"/>
      <c r="C20" s="38"/>
      <c r="D20" s="38"/>
      <c r="E20" s="38"/>
    </row>
    <row r="21" spans="2:5" ht="15.75" customHeight="1" x14ac:dyDescent="0.25">
      <c r="B21" s="38"/>
      <c r="C21" s="38"/>
      <c r="D21" s="38"/>
      <c r="E21" s="38"/>
    </row>
    <row r="22" spans="2:5" ht="15.75" customHeight="1" x14ac:dyDescent="0.25">
      <c r="B22" s="38"/>
      <c r="C22" s="38"/>
      <c r="D22" s="38"/>
      <c r="E22" s="38"/>
    </row>
    <row r="23" spans="2:5" ht="15.75" customHeight="1" x14ac:dyDescent="0.25">
      <c r="B23" s="38"/>
      <c r="C23" s="38"/>
      <c r="D23" s="38"/>
      <c r="E23" s="38"/>
    </row>
    <row r="24" spans="2:5" ht="15.75" customHeight="1" x14ac:dyDescent="0.25">
      <c r="B24" s="38"/>
      <c r="C24" s="38"/>
      <c r="D24" s="38"/>
      <c r="E24" s="38"/>
    </row>
    <row r="25" spans="2:5" ht="15.75" customHeight="1" x14ac:dyDescent="0.25">
      <c r="B25" s="38"/>
      <c r="C25" s="38"/>
      <c r="D25" s="38"/>
      <c r="E25" s="38"/>
    </row>
    <row r="26" spans="2:5" ht="15.75" customHeight="1" x14ac:dyDescent="0.25">
      <c r="B26" s="38"/>
      <c r="C26" s="38"/>
      <c r="D26" s="38"/>
      <c r="E26" s="38"/>
    </row>
    <row r="27" spans="2:5" ht="15.75" customHeight="1" x14ac:dyDescent="0.25">
      <c r="B27" s="38"/>
      <c r="C27" s="38"/>
      <c r="D27" s="38"/>
      <c r="E27" s="38"/>
    </row>
    <row r="28" spans="2:5" ht="15.75" customHeight="1" x14ac:dyDescent="0.25">
      <c r="B28" s="38"/>
      <c r="C28" s="38"/>
      <c r="D28" s="38"/>
      <c r="E28" s="38"/>
    </row>
    <row r="29" spans="2:5" ht="15.75" customHeight="1" x14ac:dyDescent="0.25">
      <c r="B29" s="38"/>
      <c r="C29" s="38"/>
      <c r="D29" s="38"/>
      <c r="E29" s="38"/>
    </row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/>
  <dcterms:created xsi:type="dcterms:W3CDTF">2023-01-13T00:08:30Z</dcterms:created>
  <dcterms:modified xsi:type="dcterms:W3CDTF">2026-05-29T16:22:28Z</dcterms:modified>
  <cp:category/>
  <cp:contentStatus/>
</cp:coreProperties>
</file>