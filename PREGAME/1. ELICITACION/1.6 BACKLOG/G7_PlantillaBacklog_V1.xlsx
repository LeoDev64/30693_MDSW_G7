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8_{D22156D8-52E3-4C6C-9A0F-BF1E235B8698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Backlog" sheetId="1" r:id="rId1"/>
    <sheet name="Sprint1" sheetId="2" r:id="rId2"/>
    <sheet name="burdonchar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" i="3" l="1"/>
  <c r="D9" i="3" s="1"/>
  <c r="E9" i="3" s="1"/>
  <c r="F9" i="3" s="1"/>
  <c r="G9" i="3" s="1"/>
  <c r="H9" i="3" s="1"/>
  <c r="I9" i="3" s="1"/>
  <c r="J9" i="3" s="1"/>
  <c r="C10" i="3"/>
  <c r="D10" i="3" s="1"/>
  <c r="E10" i="3" s="1"/>
  <c r="F10" i="3" s="1"/>
  <c r="G10" i="3" s="1"/>
  <c r="H10" i="3" s="1"/>
  <c r="I10" i="3" s="1"/>
  <c r="J10" i="3" s="1"/>
</calcChain>
</file>

<file path=xl/sharedStrings.xml><?xml version="1.0" encoding="utf-8"?>
<sst xmlns="http://schemas.openxmlformats.org/spreadsheetml/2006/main" count="139" uniqueCount="69">
  <si>
    <t>ID</t>
  </si>
  <si>
    <t>Tema</t>
  </si>
  <si>
    <t>Como un..</t>
  </si>
  <si>
    <t>necesito</t>
  </si>
  <si>
    <t>asi podre...</t>
  </si>
  <si>
    <t>notas</t>
  </si>
  <si>
    <t>prioridad</t>
  </si>
  <si>
    <t>estatus</t>
  </si>
  <si>
    <t>REQ001</t>
  </si>
  <si>
    <t>Control de acceso al sistema</t>
  </si>
  <si>
    <t>Administrador</t>
  </si>
  <si>
    <t>Autenticar el ingreso mediante usuario y contraseña</t>
  </si>
  <si>
    <t>Restringir el ingreso y proteger la información confidencial de ventas y servicios</t>
  </si>
  <si>
    <t>-</t>
  </si>
  <si>
    <t>Alta</t>
  </si>
  <si>
    <t>En proceso</t>
  </si>
  <si>
    <t>REQ002</t>
  </si>
  <si>
    <t>Registro de datos</t>
  </si>
  <si>
    <t>Guardar los datos de los usuarios</t>
  </si>
  <si>
    <t>Gestionar la informacion del usuario para dar seguimiento en el proceso</t>
  </si>
  <si>
    <t>REQ003</t>
  </si>
  <si>
    <t>Venta de Productos (Tienda)</t>
  </si>
  <si>
    <t>Registrar productos con nombre y precio fijo</t>
  </si>
  <si>
    <t>Agilizar el cobro y mantener un control claro sobre las ventas de mostrador</t>
  </si>
  <si>
    <t>Necesito</t>
  </si>
  <si>
    <t>así podre...</t>
  </si>
  <si>
    <t>Prioridad</t>
  </si>
  <si>
    <t>Status</t>
  </si>
  <si>
    <t>REQ001	Restringir el ingreso y proteger la información confidencial de ventas y servicios	-	Alta	En proceso</t>
  </si>
  <si>
    <t xml:space="preserve">Control de acceso al sistema	</t>
  </si>
  <si>
    <t>Tareas</t>
  </si>
  <si>
    <t>Asignado</t>
  </si>
  <si>
    <t>Estimado</t>
  </si>
  <si>
    <t>REQ001-1</t>
  </si>
  <si>
    <t>Crear interfaz de uso lenguaje JAVA para inicio de sesión y menú principal</t>
  </si>
  <si>
    <t>Martin Palacios</t>
  </si>
  <si>
    <t>REQ001-2</t>
  </si>
  <si>
    <t>Creación de la base de datos usuario y contraseña</t>
  </si>
  <si>
    <t>REQ001-3</t>
  </si>
  <si>
    <t>Establecer localhost xampp para conexión en la base de datos</t>
  </si>
  <si>
    <t>REQ001-4</t>
  </si>
  <si>
    <t>REQ002-1</t>
  </si>
  <si>
    <t>Crear formulario para registrar datos del cliente</t>
  </si>
  <si>
    <t>Leopoldo Bolaños</t>
  </si>
  <si>
    <t>REQ002-2</t>
  </si>
  <si>
    <t>Registrar información del cliente en la base de datos</t>
  </si>
  <si>
    <t>REQ002-3</t>
  </si>
  <si>
    <t>Validar campos obligatorios como nombre, celular y correo</t>
  </si>
  <si>
    <t>REQ002-4</t>
  </si>
  <si>
    <t>Guardar y consultar información del cliente en el sistema</t>
  </si>
  <si>
    <t>REQ003-1</t>
  </si>
  <si>
    <t>Crear catálogo de productos con nombre y precio fijo</t>
  </si>
  <si>
    <t>Matias Medina</t>
  </si>
  <si>
    <t>REQ003-2</t>
  </si>
  <si>
    <t>Registrar productos con nombre y precio fijo en la base de datos</t>
  </si>
  <si>
    <t>REQ003-3</t>
  </si>
  <si>
    <t>Implementar selección de productos y cálculo automático del total</t>
  </si>
  <si>
    <t>REQ003-4</t>
  </si>
  <si>
    <t>Generar registro de ventas realizadas en el sistema</t>
  </si>
  <si>
    <t>Dia 7</t>
  </si>
  <si>
    <t>Dia 6</t>
  </si>
  <si>
    <t>Dia 5</t>
  </si>
  <si>
    <t>Dia 4</t>
  </si>
  <si>
    <t>Dia 3</t>
  </si>
  <si>
    <t>Dia 2</t>
  </si>
  <si>
    <t>Dia 1</t>
  </si>
  <si>
    <t>Total de Horas</t>
  </si>
  <si>
    <t>Horas Estimadas</t>
  </si>
  <si>
    <t>Horas Estimadas
Restantes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</si>
</sst>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000000"/>
      <name val="Inconsolata"/>
    </font>
    <font>
      <sz val="10"/>
      <name val="Arial"/>
      <family val="2"/>
    </font>
    <font>
      <sz val="10"/>
      <name val="Arial"/>
      <family val="2"/>
      <scheme val="minor"/>
    </font>
    <font>
      <sz val="10"/>
      <color theme="4"/>
      <name val="Arial"/>
      <family val="2"/>
    </font>
    <font>
      <sz val="12"/>
      <color rgb="FF000000"/>
      <name val="Arial"/>
      <family val="2"/>
      <scheme val="minor"/>
    </font>
    <font>
      <sz val="10"/>
      <color rgb="FF4472C4"/>
      <name val="Arial"/>
      <family val="2"/>
    </font>
    <font>
      <sz val="10"/>
      <color rgb="FF000000"/>
      <name val="Arial"/>
    </font>
    <font>
      <sz val="10"/>
      <color rgb="FF4472C4"/>
      <name val="Arial"/>
      <charset val="1"/>
    </font>
    <font>
      <sz val="10"/>
      <color theme="4"/>
      <name val="Arial"/>
      <scheme val="minor"/>
    </font>
    <font>
      <b/>
      <sz val="10"/>
      <color rgb="FF000000"/>
      <name val="Arial"/>
      <scheme val="minor"/>
    </font>
    <font>
      <u/>
      <sz val="10"/>
      <color rgb="FF000000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FFD966"/>
        <bgColor rgb="FFFFD966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FF00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2" fillId="3" borderId="1" xfId="0" applyFont="1" applyFill="1" applyBorder="1"/>
    <xf numFmtId="0" fontId="1" fillId="0" borderId="0" xfId="0" applyFont="1"/>
    <xf numFmtId="0" fontId="2" fillId="4" borderId="2" xfId="0" applyFont="1" applyFill="1" applyBorder="1"/>
    <xf numFmtId="0" fontId="2" fillId="0" borderId="2" xfId="0" applyFont="1" applyBorder="1"/>
    <xf numFmtId="0" fontId="3" fillId="2" borderId="2" xfId="0" applyFont="1" applyFill="1" applyBorder="1"/>
    <xf numFmtId="0" fontId="1" fillId="0" borderId="3" xfId="0" applyFont="1" applyBorder="1" applyAlignment="1">
      <alignment horizontal="center"/>
    </xf>
    <xf numFmtId="0" fontId="4" fillId="3" borderId="1" xfId="0" applyFont="1" applyFill="1" applyBorder="1"/>
    <xf numFmtId="0" fontId="6" fillId="0" borderId="0" xfId="0" applyFont="1" applyAlignment="1">
      <alignment horizontal="right"/>
    </xf>
    <xf numFmtId="0" fontId="6" fillId="0" borderId="0" xfId="0" applyFont="1"/>
    <xf numFmtId="0" fontId="6" fillId="0" borderId="1" xfId="0" applyFont="1" applyBorder="1"/>
    <xf numFmtId="0" fontId="6" fillId="0" borderId="0" xfId="0" applyFont="1" applyAlignment="1">
      <alignment horizontal="left" vertical="top"/>
    </xf>
    <xf numFmtId="0" fontId="0" fillId="6" borderId="0" xfId="0" applyFill="1"/>
    <xf numFmtId="0" fontId="0" fillId="5" borderId="0" xfId="0" applyFill="1"/>
    <xf numFmtId="0" fontId="6" fillId="0" borderId="3" xfId="0" applyFont="1" applyBorder="1"/>
    <xf numFmtId="0" fontId="0" fillId="0" borderId="1" xfId="0" applyBorder="1"/>
    <xf numFmtId="0" fontId="5" fillId="0" borderId="0" xfId="0" applyFont="1"/>
    <xf numFmtId="0" fontId="8" fillId="0" borderId="3" xfId="0" applyFont="1" applyBorder="1"/>
    <xf numFmtId="0" fontId="11" fillId="0" borderId="4" xfId="0" applyFont="1" applyBorder="1"/>
    <xf numFmtId="0" fontId="9" fillId="0" borderId="4" xfId="0" applyFont="1" applyBorder="1"/>
    <xf numFmtId="0" fontId="6" fillId="0" borderId="4" xfId="0" applyFont="1" applyBorder="1"/>
    <xf numFmtId="0" fontId="10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8" fillId="0" borderId="5" xfId="0" applyFont="1" applyBorder="1"/>
    <xf numFmtId="0" fontId="6" fillId="0" borderId="8" xfId="0" applyFont="1" applyBorder="1"/>
    <xf numFmtId="0" fontId="6" fillId="0" borderId="9" xfId="0" applyFont="1" applyBorder="1"/>
    <xf numFmtId="0" fontId="6" fillId="0" borderId="10" xfId="0" applyFont="1" applyBorder="1"/>
    <xf numFmtId="0" fontId="1" fillId="0" borderId="6" xfId="0" applyFont="1" applyBorder="1" applyAlignment="1">
      <alignment horizontal="center"/>
    </xf>
    <xf numFmtId="0" fontId="9" fillId="0" borderId="11" xfId="0" applyFont="1" applyBorder="1"/>
    <xf numFmtId="0" fontId="12" fillId="0" borderId="0" xfId="0" applyFont="1"/>
    <xf numFmtId="0" fontId="1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 vertical="center" wrapText="1"/>
    </xf>
  </cellXfs>
  <cellStyles count="1">
    <cellStyle name="Normal" xfId="0" builtinId="0"/>
  </cellStyles>
  <dxfs count="5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2">
    <tableStyle name="burdonchart-style" pivot="0" count="3" xr9:uid="{00000000-0011-0000-FFFF-FFFF00000000}">
      <tableStyleElement type="headerRow" dxfId="4"/>
      <tableStyleElement type="firstRowStripe" dxfId="3"/>
      <tableStyleElement type="secondRowStripe" dxfId="2"/>
    </tableStyle>
    <tableStyle name="burdonchart-style 2" pivot="0" count="2" xr9:uid="{00000000-0011-0000-FFFF-FFFF01000000}">
      <tableStyleElement type="firstRowStripe" dxfId="1"/>
      <tableStyleElement type="secondRowStripe" dxfId="0"/>
    </tableStyle>
  </tableStyles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0878442708739748"/>
          <c:y val="5.9575003594018003E-2"/>
          <c:w val="0.71638705161854765"/>
          <c:h val="0.86882300089847264"/>
        </c:manualLayout>
      </c:layout>
      <c:lineChart>
        <c:grouping val="standard"/>
        <c:varyColors val="1"/>
        <c:ser>
          <c:idx val="0"/>
          <c:order val="0"/>
          <c:spPr>
            <a:ln cmpd="sng">
              <a:solidFill>
                <a:srgbClr val="3366CC"/>
              </a:solidFill>
            </a:ln>
          </c:spPr>
          <c:marker>
            <c:symbol val="none"/>
          </c:marker>
          <c:val>
            <c:numRef>
              <c:f>burdonchart!$B$9:$J$9</c:f>
              <c:numCache>
                <c:formatCode>General</c:formatCode>
                <c:ptCount val="9"/>
                <c:pt idx="0">
                  <c:v>0</c:v>
                </c:pt>
                <c:pt idx="1">
                  <c:v>11</c:v>
                </c:pt>
                <c:pt idx="2">
                  <c:v>8</c:v>
                </c:pt>
                <c:pt idx="3">
                  <c:v>6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09-4C3D-AE3A-D603C95EF801}"/>
            </c:ext>
          </c:extLst>
        </c:ser>
        <c:ser>
          <c:idx val="1"/>
          <c:order val="1"/>
          <c:spPr>
            <a:ln cmpd="sng">
              <a:solidFill>
                <a:srgbClr val="DC3912"/>
              </a:solidFill>
            </a:ln>
          </c:spPr>
          <c:marker>
            <c:symbol val="none"/>
          </c:marker>
          <c:val>
            <c:numRef>
              <c:f>burdonchart!$B$10:$J$10</c:f>
              <c:numCache>
                <c:formatCode>General</c:formatCode>
                <c:ptCount val="9"/>
                <c:pt idx="0">
                  <c:v>0</c:v>
                </c:pt>
                <c:pt idx="1">
                  <c:v>11</c:v>
                </c:pt>
                <c:pt idx="2">
                  <c:v>9.4285714285714288</c:v>
                </c:pt>
                <c:pt idx="3">
                  <c:v>7.8571428571428577</c:v>
                </c:pt>
                <c:pt idx="4">
                  <c:v>6.2857142857142865</c:v>
                </c:pt>
                <c:pt idx="5">
                  <c:v>4.7142857142857153</c:v>
                </c:pt>
                <c:pt idx="6">
                  <c:v>3.1428571428571441</c:v>
                </c:pt>
                <c:pt idx="7">
                  <c:v>1.5714285714285727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09-4C3D-AE3A-D603C95EF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089006"/>
        <c:axId val="1777883363"/>
      </c:lineChart>
      <c:catAx>
        <c:axId val="1210890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C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  <a:endParaRPr lang="es-ES"/>
          </a:p>
        </c:txPr>
        <c:crossAx val="1777883363"/>
        <c:crosses val="autoZero"/>
        <c:auto val="1"/>
        <c:lblAlgn val="ctr"/>
        <c:lblOffset val="100"/>
        <c:noMultiLvlLbl val="1"/>
      </c:catAx>
      <c:valAx>
        <c:axId val="17778833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C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  <a:endParaRPr lang="es-ES"/>
          </a:p>
        </c:txPr>
        <c:crossAx val="1210890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000000"/>
              </a:solidFill>
              <a:latin typeface="Roboto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91186</xdr:colOff>
      <xdr:row>11</xdr:row>
      <xdr:rowOff>17410</xdr:rowOff>
    </xdr:from>
    <xdr:ext cx="8056558" cy="493769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996"/>
  <sheetViews>
    <sheetView zoomScale="130" zoomScaleNormal="130" workbookViewId="0">
      <selection activeCell="A4" sqref="A4"/>
    </sheetView>
  </sheetViews>
  <sheetFormatPr baseColWidth="10" defaultColWidth="12.5546875" defaultRowHeight="15" customHeight="1" x14ac:dyDescent="0.25"/>
  <cols>
    <col min="1" max="1" width="12.5546875" customWidth="1"/>
    <col min="2" max="2" width="34.88671875" bestFit="1" customWidth="1"/>
    <col min="3" max="3" width="16.88671875" customWidth="1"/>
    <col min="4" max="4" width="33.44140625" customWidth="1"/>
    <col min="5" max="5" width="68.6640625" customWidth="1"/>
    <col min="6" max="6" width="12.5546875" customWidth="1"/>
  </cols>
  <sheetData>
    <row r="1" spans="1:9" ht="15.75" customHeight="1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31" t="s">
        <v>5</v>
      </c>
      <c r="G1" s="8" t="s">
        <v>6</v>
      </c>
      <c r="H1" s="8" t="s">
        <v>7</v>
      </c>
    </row>
    <row r="2" spans="1:9" ht="15.75" customHeight="1" x14ac:dyDescent="0.25">
      <c r="A2" s="16" t="s">
        <v>8</v>
      </c>
      <c r="B2" s="19" t="s">
        <v>9</v>
      </c>
      <c r="C2" s="19" t="s">
        <v>10</v>
      </c>
      <c r="D2" s="25" t="s">
        <v>11</v>
      </c>
      <c r="E2" s="27" t="s">
        <v>12</v>
      </c>
      <c r="F2" s="21" t="s">
        <v>13</v>
      </c>
      <c r="G2" s="29" t="s">
        <v>14</v>
      </c>
      <c r="H2" s="16" t="s">
        <v>15</v>
      </c>
    </row>
    <row r="3" spans="1:9" ht="15.75" customHeight="1" x14ac:dyDescent="0.25">
      <c r="A3" s="16" t="s">
        <v>16</v>
      </c>
      <c r="B3" s="25" t="s">
        <v>17</v>
      </c>
      <c r="C3" s="16" t="s">
        <v>10</v>
      </c>
      <c r="D3" s="25" t="s">
        <v>18</v>
      </c>
      <c r="E3" s="28" t="s">
        <v>19</v>
      </c>
      <c r="F3" s="21" t="s">
        <v>13</v>
      </c>
      <c r="G3" s="30" t="s">
        <v>14</v>
      </c>
      <c r="H3" s="25" t="s">
        <v>15</v>
      </c>
    </row>
    <row r="4" spans="1:9" ht="15.75" customHeight="1" x14ac:dyDescent="0.25">
      <c r="A4" s="24" t="s">
        <v>20</v>
      </c>
      <c r="B4" s="20" t="s">
        <v>21</v>
      </c>
      <c r="C4" s="26" t="s">
        <v>10</v>
      </c>
      <c r="D4" s="20" t="s">
        <v>22</v>
      </c>
      <c r="E4" s="20" t="s">
        <v>23</v>
      </c>
      <c r="F4" s="32" t="s">
        <v>13</v>
      </c>
      <c r="G4" s="22" t="s">
        <v>14</v>
      </c>
      <c r="H4" s="23" t="s">
        <v>15</v>
      </c>
      <c r="I4" s="17"/>
    </row>
    <row r="5" spans="1:9" ht="15.75" customHeight="1" x14ac:dyDescent="0.25">
      <c r="B5" s="17"/>
      <c r="D5" s="17"/>
      <c r="E5" s="17"/>
      <c r="F5" s="17"/>
      <c r="G5" s="17"/>
      <c r="H5" s="12"/>
      <c r="I5" s="17"/>
    </row>
    <row r="6" spans="1:9" ht="15.75" customHeight="1" x14ac:dyDescent="0.25">
      <c r="H6" s="17"/>
    </row>
    <row r="7" spans="1:9" ht="15.75" customHeight="1" x14ac:dyDescent="0.25"/>
    <row r="8" spans="1:9" ht="15.75" customHeight="1" x14ac:dyDescent="0.25"/>
    <row r="9" spans="1:9" ht="15.75" customHeight="1" x14ac:dyDescent="0.25"/>
    <row r="10" spans="1:9" ht="15.75" customHeight="1" x14ac:dyDescent="0.25"/>
    <row r="11" spans="1:9" ht="15.75" customHeight="1" x14ac:dyDescent="0.25"/>
    <row r="12" spans="1:9" ht="15.75" customHeight="1" x14ac:dyDescent="0.25"/>
    <row r="13" spans="1:9" ht="15.75" customHeight="1" x14ac:dyDescent="0.25"/>
    <row r="14" spans="1:9" ht="15.75" customHeight="1" x14ac:dyDescent="0.25"/>
    <row r="15" spans="1:9" ht="15.75" customHeight="1" x14ac:dyDescent="0.25"/>
    <row r="16" spans="1: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K962"/>
  <sheetViews>
    <sheetView tabSelected="1" topLeftCell="A3" zoomScaleNormal="100" workbookViewId="0">
      <selection activeCell="E29" sqref="E29"/>
    </sheetView>
  </sheetViews>
  <sheetFormatPr baseColWidth="10" defaultColWidth="12.5546875" defaultRowHeight="15" customHeight="1" x14ac:dyDescent="0.25"/>
  <cols>
    <col min="1" max="2" width="12.5546875" customWidth="1"/>
    <col min="3" max="3" width="23.88671875" bestFit="1" customWidth="1"/>
    <col min="4" max="4" width="20.44140625" bestFit="1" customWidth="1"/>
    <col min="5" max="5" width="41.33203125" bestFit="1" customWidth="1"/>
    <col min="6" max="6" width="56.109375" customWidth="1"/>
    <col min="7" max="7" width="29" bestFit="1" customWidth="1"/>
  </cols>
  <sheetData>
    <row r="1" spans="2:11" ht="15.75" customHeight="1" x14ac:dyDescent="0.25"/>
    <row r="2" spans="2:11" ht="15.75" customHeight="1" x14ac:dyDescent="0.25"/>
    <row r="3" spans="2:11" ht="15.75" customHeight="1" x14ac:dyDescent="0.25">
      <c r="B3" s="1" t="s">
        <v>0</v>
      </c>
      <c r="C3" s="1" t="s">
        <v>1</v>
      </c>
      <c r="D3" s="1" t="s">
        <v>2</v>
      </c>
      <c r="E3" s="1" t="s">
        <v>24</v>
      </c>
      <c r="F3" s="1" t="s">
        <v>25</v>
      </c>
      <c r="G3" s="1" t="s">
        <v>5</v>
      </c>
      <c r="H3" s="1" t="s">
        <v>26</v>
      </c>
      <c r="I3" s="1" t="s">
        <v>27</v>
      </c>
    </row>
    <row r="4" spans="2:11" ht="15.75" customHeight="1" x14ac:dyDescent="0.25">
      <c r="B4" s="3" t="s">
        <v>28</v>
      </c>
      <c r="C4" s="3" t="s">
        <v>29</v>
      </c>
      <c r="D4" s="3" t="s">
        <v>10</v>
      </c>
      <c r="E4" s="9" t="s">
        <v>11</v>
      </c>
      <c r="F4" s="3" t="s">
        <v>12</v>
      </c>
      <c r="G4" s="3" t="s">
        <v>13</v>
      </c>
      <c r="H4" s="3" t="s">
        <v>14</v>
      </c>
      <c r="I4" s="3" t="s">
        <v>15</v>
      </c>
    </row>
    <row r="5" spans="2:11" ht="15.75" customHeight="1" x14ac:dyDescent="0.25">
      <c r="B5" s="2"/>
      <c r="C5" s="4" t="s">
        <v>30</v>
      </c>
      <c r="D5" s="2"/>
      <c r="E5" s="2"/>
      <c r="F5" s="2"/>
      <c r="G5" s="4" t="s">
        <v>31</v>
      </c>
      <c r="H5" s="2"/>
      <c r="I5" s="4" t="s">
        <v>32</v>
      </c>
    </row>
    <row r="6" spans="2:11" ht="15.75" customHeight="1" x14ac:dyDescent="0.25">
      <c r="B6" s="11" t="s">
        <v>33</v>
      </c>
      <c r="C6" s="35" t="s">
        <v>34</v>
      </c>
      <c r="D6" s="36"/>
      <c r="E6" s="36"/>
      <c r="F6" s="36"/>
      <c r="G6" s="2" t="s">
        <v>35</v>
      </c>
      <c r="H6" s="2"/>
      <c r="I6" s="10">
        <v>4</v>
      </c>
    </row>
    <row r="7" spans="2:11" ht="15.75" customHeight="1" x14ac:dyDescent="0.25">
      <c r="B7" s="11" t="s">
        <v>36</v>
      </c>
      <c r="C7" s="35" t="s">
        <v>37</v>
      </c>
      <c r="D7" s="36"/>
      <c r="E7" s="36"/>
      <c r="F7" s="36"/>
      <c r="G7" s="2" t="s">
        <v>35</v>
      </c>
      <c r="H7" s="2"/>
      <c r="I7" s="10">
        <v>1</v>
      </c>
    </row>
    <row r="8" spans="2:11" ht="15.75" customHeight="1" x14ac:dyDescent="0.25">
      <c r="B8" s="11" t="s">
        <v>38</v>
      </c>
      <c r="C8" s="35" t="s">
        <v>39</v>
      </c>
      <c r="D8" s="36"/>
      <c r="E8" s="36"/>
      <c r="F8" s="36"/>
      <c r="G8" s="2" t="s">
        <v>35</v>
      </c>
      <c r="H8" s="2"/>
      <c r="I8" s="11">
        <v>2</v>
      </c>
    </row>
    <row r="9" spans="2:11" ht="15.75" customHeight="1" x14ac:dyDescent="0.25">
      <c r="B9" s="13" t="s">
        <v>40</v>
      </c>
      <c r="C9" s="37"/>
      <c r="D9" s="37"/>
      <c r="E9" s="37"/>
      <c r="F9" s="37"/>
      <c r="G9" s="2" t="s">
        <v>35</v>
      </c>
      <c r="H9" s="1"/>
      <c r="I9" s="10">
        <v>4</v>
      </c>
    </row>
    <row r="10" spans="2:11" ht="15.75" customHeight="1" x14ac:dyDescent="0.25">
      <c r="B10" s="12"/>
      <c r="C10" s="12"/>
      <c r="D10" s="12"/>
      <c r="E10" s="12"/>
      <c r="F10" s="12"/>
      <c r="G10" s="12"/>
      <c r="H10" s="12"/>
      <c r="I10" s="12"/>
    </row>
    <row r="11" spans="2:11" ht="15.75" customHeight="1" x14ac:dyDescent="0.25">
      <c r="B11" s="1" t="s">
        <v>0</v>
      </c>
      <c r="C11" s="1" t="s">
        <v>1</v>
      </c>
      <c r="D11" s="1" t="s">
        <v>2</v>
      </c>
      <c r="E11" s="1" t="s">
        <v>24</v>
      </c>
      <c r="F11" s="1" t="s">
        <v>25</v>
      </c>
      <c r="G11" s="1" t="s">
        <v>5</v>
      </c>
      <c r="H11" s="1" t="s">
        <v>26</v>
      </c>
      <c r="I11" s="1" t="s">
        <v>27</v>
      </c>
    </row>
    <row r="12" spans="2:11" ht="15.75" customHeight="1" x14ac:dyDescent="0.25">
      <c r="B12" s="3" t="s">
        <v>16</v>
      </c>
      <c r="C12" s="3" t="s">
        <v>17</v>
      </c>
      <c r="D12" s="3" t="s">
        <v>10</v>
      </c>
      <c r="E12" s="9" t="s">
        <v>18</v>
      </c>
      <c r="F12" s="3" t="s">
        <v>19</v>
      </c>
      <c r="G12" s="3" t="s">
        <v>13</v>
      </c>
      <c r="H12" s="3" t="s">
        <v>14</v>
      </c>
      <c r="I12" s="3" t="s">
        <v>15</v>
      </c>
    </row>
    <row r="13" spans="2:11" ht="15.75" customHeight="1" x14ac:dyDescent="0.25">
      <c r="B13" s="2"/>
      <c r="C13" s="4" t="s">
        <v>30</v>
      </c>
      <c r="D13" s="2"/>
      <c r="E13" s="2"/>
      <c r="F13" s="2"/>
      <c r="G13" s="4" t="s">
        <v>31</v>
      </c>
      <c r="H13" s="2"/>
      <c r="I13" s="4" t="s">
        <v>32</v>
      </c>
    </row>
    <row r="14" spans="2:11" ht="15.75" customHeight="1" x14ac:dyDescent="0.25">
      <c r="B14" s="11" t="s">
        <v>41</v>
      </c>
      <c r="C14" s="35" t="s">
        <v>42</v>
      </c>
      <c r="D14" s="36"/>
      <c r="E14" s="36"/>
      <c r="F14" s="36"/>
      <c r="G14" s="2" t="s">
        <v>43</v>
      </c>
      <c r="H14" s="2"/>
      <c r="I14" s="10">
        <v>4</v>
      </c>
    </row>
    <row r="15" spans="2:11" ht="15.75" customHeight="1" x14ac:dyDescent="0.25">
      <c r="B15" s="11" t="s">
        <v>44</v>
      </c>
      <c r="C15" s="35" t="s">
        <v>45</v>
      </c>
      <c r="D15" s="36"/>
      <c r="E15" s="36"/>
      <c r="F15" s="36"/>
      <c r="G15" s="2" t="s">
        <v>43</v>
      </c>
      <c r="H15" s="2"/>
      <c r="I15" s="10">
        <v>1</v>
      </c>
      <c r="K15" s="34"/>
    </row>
    <row r="16" spans="2:11" ht="15.75" customHeight="1" x14ac:dyDescent="0.25">
      <c r="B16" s="11" t="s">
        <v>46</v>
      </c>
      <c r="C16" t="s">
        <v>47</v>
      </c>
      <c r="D16" s="18"/>
      <c r="E16" s="18"/>
      <c r="F16" s="18"/>
      <c r="G16" s="2" t="s">
        <v>43</v>
      </c>
      <c r="H16" s="2"/>
      <c r="I16" s="11">
        <v>2</v>
      </c>
    </row>
    <row r="17" spans="2:9" ht="15.75" customHeight="1" x14ac:dyDescent="0.25">
      <c r="B17" s="11" t="s">
        <v>48</v>
      </c>
      <c r="C17" s="37" t="s">
        <v>49</v>
      </c>
      <c r="D17" s="37"/>
      <c r="E17" s="37"/>
      <c r="F17" s="37"/>
      <c r="G17" s="2" t="s">
        <v>43</v>
      </c>
      <c r="H17" s="1"/>
      <c r="I17" s="10">
        <v>4</v>
      </c>
    </row>
    <row r="18" spans="2:9" ht="15.75" customHeight="1" x14ac:dyDescent="0.25"/>
    <row r="19" spans="2:9" ht="15.75" customHeight="1" x14ac:dyDescent="0.25"/>
    <row r="20" spans="2:9" ht="15.75" customHeight="1" x14ac:dyDescent="0.25">
      <c r="B20" s="1" t="s">
        <v>0</v>
      </c>
      <c r="C20" s="1" t="s">
        <v>1</v>
      </c>
      <c r="D20" s="1" t="s">
        <v>2</v>
      </c>
      <c r="E20" s="1" t="s">
        <v>24</v>
      </c>
      <c r="F20" s="1" t="s">
        <v>25</v>
      </c>
      <c r="G20" s="1" t="s">
        <v>5</v>
      </c>
      <c r="H20" s="1" t="s">
        <v>26</v>
      </c>
      <c r="I20" s="1" t="s">
        <v>27</v>
      </c>
    </row>
    <row r="21" spans="2:9" ht="15.75" customHeight="1" x14ac:dyDescent="0.25">
      <c r="B21" s="3" t="s">
        <v>20</v>
      </c>
      <c r="C21" s="3" t="s">
        <v>21</v>
      </c>
      <c r="D21" s="3" t="s">
        <v>10</v>
      </c>
      <c r="E21" s="9" t="s">
        <v>22</v>
      </c>
      <c r="F21" s="3" t="s">
        <v>23</v>
      </c>
      <c r="G21" s="3" t="s">
        <v>13</v>
      </c>
      <c r="H21" s="3" t="s">
        <v>14</v>
      </c>
      <c r="I21" s="3" t="s">
        <v>15</v>
      </c>
    </row>
    <row r="22" spans="2:9" ht="15.75" customHeight="1" x14ac:dyDescent="0.25">
      <c r="B22" s="2"/>
      <c r="C22" s="4" t="s">
        <v>30</v>
      </c>
      <c r="D22" s="2"/>
      <c r="E22" s="2"/>
      <c r="F22" s="2"/>
      <c r="G22" s="4" t="s">
        <v>31</v>
      </c>
      <c r="H22" s="2"/>
      <c r="I22" s="4" t="s">
        <v>32</v>
      </c>
    </row>
    <row r="23" spans="2:9" ht="15.75" customHeight="1" x14ac:dyDescent="0.25">
      <c r="B23" s="11" t="s">
        <v>50</v>
      </c>
      <c r="C23" s="35" t="s">
        <v>51</v>
      </c>
      <c r="D23" s="36"/>
      <c r="E23" s="36"/>
      <c r="F23" s="36"/>
      <c r="G23" s="2" t="s">
        <v>52</v>
      </c>
      <c r="H23" s="2"/>
      <c r="I23" s="10">
        <v>4</v>
      </c>
    </row>
    <row r="24" spans="2:9" ht="15.75" customHeight="1" x14ac:dyDescent="0.25">
      <c r="B24" s="11" t="s">
        <v>53</v>
      </c>
      <c r="C24" s="35" t="s">
        <v>54</v>
      </c>
      <c r="D24" s="36"/>
      <c r="E24" s="36"/>
      <c r="F24" s="36"/>
      <c r="G24" s="2" t="s">
        <v>52</v>
      </c>
      <c r="H24" s="2"/>
      <c r="I24" s="10">
        <v>1</v>
      </c>
    </row>
    <row r="25" spans="2:9" ht="15.75" customHeight="1" x14ac:dyDescent="0.25">
      <c r="B25" s="11" t="s">
        <v>55</v>
      </c>
      <c r="C25" s="35" t="s">
        <v>56</v>
      </c>
      <c r="D25" s="36"/>
      <c r="E25" s="36"/>
      <c r="F25" s="36"/>
      <c r="G25" s="2" t="s">
        <v>52</v>
      </c>
      <c r="H25" s="2"/>
      <c r="I25" s="11">
        <v>2</v>
      </c>
    </row>
    <row r="26" spans="2:9" ht="15.75" customHeight="1" x14ac:dyDescent="0.25">
      <c r="B26" s="11" t="s">
        <v>57</v>
      </c>
      <c r="C26" s="37" t="s">
        <v>58</v>
      </c>
      <c r="D26" s="37"/>
      <c r="E26" s="37"/>
      <c r="F26" s="37"/>
      <c r="G26" s="2" t="s">
        <v>52</v>
      </c>
      <c r="H26" s="1"/>
      <c r="I26" s="10">
        <v>4</v>
      </c>
    </row>
    <row r="27" spans="2:9" ht="15.75" customHeight="1" x14ac:dyDescent="0.25"/>
    <row r="28" spans="2:9" ht="15.75" customHeight="1" x14ac:dyDescent="0.25"/>
    <row r="29" spans="2:9" ht="15.75" customHeight="1" x14ac:dyDescent="0.25"/>
    <row r="30" spans="2:9" ht="15.75" customHeight="1" x14ac:dyDescent="0.25"/>
    <row r="31" spans="2:9" ht="15.75" customHeight="1" x14ac:dyDescent="0.25"/>
    <row r="32" spans="2:9" ht="15.75" customHeight="1" x14ac:dyDescent="0.25"/>
    <row r="33" spans="2:5" ht="15.75" customHeight="1" x14ac:dyDescent="0.25"/>
    <row r="34" spans="2:5" ht="15.75" customHeight="1" x14ac:dyDescent="0.25"/>
    <row r="35" spans="2:5" ht="15.75" customHeight="1" x14ac:dyDescent="0.25">
      <c r="B35" s="33"/>
      <c r="C35" s="33"/>
      <c r="D35" s="33"/>
      <c r="E35" s="33"/>
    </row>
    <row r="36" spans="2:5" ht="15.75" customHeight="1" x14ac:dyDescent="0.25"/>
    <row r="37" spans="2:5" ht="15.75" customHeight="1" x14ac:dyDescent="0.25"/>
    <row r="38" spans="2:5" ht="15.75" customHeight="1" x14ac:dyDescent="0.25"/>
    <row r="39" spans="2:5" ht="15.75" customHeight="1" x14ac:dyDescent="0.25"/>
    <row r="40" spans="2:5" ht="15.75" customHeight="1" x14ac:dyDescent="0.25"/>
    <row r="41" spans="2:5" ht="15.75" customHeight="1" x14ac:dyDescent="0.25"/>
    <row r="42" spans="2:5" ht="15.75" customHeight="1" x14ac:dyDescent="0.25"/>
    <row r="43" spans="2:5" ht="15.75" customHeight="1" x14ac:dyDescent="0.25"/>
    <row r="44" spans="2:5" ht="15.75" customHeight="1" x14ac:dyDescent="0.25"/>
    <row r="45" spans="2:5" ht="15.75" customHeight="1" x14ac:dyDescent="0.25"/>
    <row r="46" spans="2:5" ht="15.75" customHeight="1" x14ac:dyDescent="0.25"/>
    <row r="47" spans="2:5" ht="15.75" customHeight="1" x14ac:dyDescent="0.25"/>
    <row r="48" spans="2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</sheetData>
  <mergeCells count="11">
    <mergeCell ref="C6:F6"/>
    <mergeCell ref="C7:F7"/>
    <mergeCell ref="C8:F8"/>
    <mergeCell ref="C9:F9"/>
    <mergeCell ref="C14:F14"/>
    <mergeCell ref="C25:F25"/>
    <mergeCell ref="C26:F26"/>
    <mergeCell ref="C15:F15"/>
    <mergeCell ref="C17:F17"/>
    <mergeCell ref="C23:F23"/>
    <mergeCell ref="C24:F24"/>
  </mergeCells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82"/>
  <sheetViews>
    <sheetView zoomScaleNormal="100" workbookViewId="0">
      <selection activeCell="B19" sqref="B19:E29"/>
    </sheetView>
  </sheetViews>
  <sheetFormatPr baseColWidth="10" defaultColWidth="12.5546875" defaultRowHeight="15" customHeight="1" x14ac:dyDescent="0.25"/>
  <cols>
    <col min="1" max="1" width="12.5546875" customWidth="1"/>
    <col min="2" max="2" width="24.6640625" customWidth="1"/>
    <col min="3" max="3" width="12.5546875" customWidth="1"/>
    <col min="4" max="4" width="11.109375" customWidth="1"/>
    <col min="5" max="8" width="12.5546875" customWidth="1"/>
  </cols>
  <sheetData>
    <row r="1" spans="1:11" ht="15.75" customHeight="1" x14ac:dyDescent="0.25"/>
    <row r="2" spans="1:11" ht="15.75" customHeight="1" x14ac:dyDescent="0.25"/>
    <row r="3" spans="1:11" ht="15.75" customHeight="1" x14ac:dyDescent="0.25">
      <c r="B3" s="2"/>
      <c r="C3" s="2" t="s">
        <v>32</v>
      </c>
      <c r="D3" s="2" t="s">
        <v>59</v>
      </c>
      <c r="E3" s="2" t="s">
        <v>60</v>
      </c>
      <c r="F3" s="2" t="s">
        <v>61</v>
      </c>
      <c r="G3" s="2" t="s">
        <v>62</v>
      </c>
      <c r="H3" s="2" t="s">
        <v>63</v>
      </c>
      <c r="I3" s="2" t="s">
        <v>64</v>
      </c>
      <c r="J3" s="2" t="s">
        <v>65</v>
      </c>
      <c r="K3" s="2" t="s">
        <v>66</v>
      </c>
    </row>
    <row r="4" spans="1:11" ht="15.75" customHeight="1" x14ac:dyDescent="0.25">
      <c r="B4" t="s">
        <v>33</v>
      </c>
      <c r="C4" s="15">
        <v>4</v>
      </c>
      <c r="D4">
        <v>0</v>
      </c>
      <c r="E4">
        <v>2</v>
      </c>
      <c r="F4">
        <v>1</v>
      </c>
      <c r="G4">
        <v>0</v>
      </c>
      <c r="H4">
        <v>0</v>
      </c>
      <c r="I4">
        <v>0</v>
      </c>
      <c r="J4">
        <v>1</v>
      </c>
      <c r="K4" s="14">
        <v>4</v>
      </c>
    </row>
    <row r="5" spans="1:11" ht="15.75" customHeight="1" x14ac:dyDescent="0.25">
      <c r="B5" t="s">
        <v>36</v>
      </c>
      <c r="C5" s="1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  <c r="K5" s="14">
        <v>1</v>
      </c>
    </row>
    <row r="6" spans="1:11" ht="15.75" customHeight="1" x14ac:dyDescent="0.25">
      <c r="A6" s="2"/>
      <c r="B6" t="s">
        <v>38</v>
      </c>
      <c r="C6" s="15">
        <v>2</v>
      </c>
      <c r="D6">
        <v>1</v>
      </c>
      <c r="E6">
        <v>0</v>
      </c>
      <c r="F6">
        <v>1</v>
      </c>
      <c r="G6">
        <v>0</v>
      </c>
      <c r="H6">
        <v>0</v>
      </c>
      <c r="I6">
        <v>0</v>
      </c>
      <c r="J6">
        <v>0</v>
      </c>
      <c r="K6" s="14">
        <v>2</v>
      </c>
    </row>
    <row r="7" spans="1:11" ht="15.75" customHeight="1" x14ac:dyDescent="0.25">
      <c r="A7" s="2"/>
      <c r="B7" t="s">
        <v>40</v>
      </c>
      <c r="C7" s="15">
        <v>4</v>
      </c>
      <c r="D7">
        <v>2</v>
      </c>
      <c r="E7">
        <v>0</v>
      </c>
      <c r="F7">
        <v>0</v>
      </c>
      <c r="G7">
        <v>1</v>
      </c>
      <c r="H7">
        <v>0</v>
      </c>
      <c r="I7">
        <v>1</v>
      </c>
      <c r="J7">
        <v>0</v>
      </c>
      <c r="K7" s="14">
        <v>4</v>
      </c>
    </row>
    <row r="8" spans="1:11" ht="15.75" customHeight="1" x14ac:dyDescent="0.25"/>
    <row r="9" spans="1:11" ht="15.75" customHeight="1" x14ac:dyDescent="0.25">
      <c r="B9" s="5" t="s">
        <v>67</v>
      </c>
      <c r="C9" s="6">
        <f>SUM(C4:C7)</f>
        <v>11</v>
      </c>
      <c r="D9" s="6">
        <f t="shared" ref="D9:J9" si="0">C9-SUM(D4:D7)</f>
        <v>8</v>
      </c>
      <c r="E9" s="7">
        <f t="shared" si="0"/>
        <v>6</v>
      </c>
      <c r="F9" s="6">
        <f t="shared" si="0"/>
        <v>4</v>
      </c>
      <c r="G9" s="6">
        <f t="shared" si="0"/>
        <v>3</v>
      </c>
      <c r="H9" s="6">
        <f t="shared" si="0"/>
        <v>3</v>
      </c>
      <c r="I9" s="6">
        <f t="shared" si="0"/>
        <v>1</v>
      </c>
      <c r="J9" s="6">
        <f t="shared" si="0"/>
        <v>0</v>
      </c>
    </row>
    <row r="10" spans="1:11" ht="15.75" customHeight="1" x14ac:dyDescent="0.25">
      <c r="B10" s="5" t="s">
        <v>68</v>
      </c>
      <c r="C10" s="6">
        <f>SUM(C4:C7)</f>
        <v>11</v>
      </c>
      <c r="D10" s="6">
        <f>C10-(SUM(C4:C7)/7)</f>
        <v>9.4285714285714288</v>
      </c>
      <c r="E10" s="7">
        <f>D10-(SUM(C4:C7)/7)</f>
        <v>7.8571428571428577</v>
      </c>
      <c r="F10" s="6">
        <f>E10-(SUM(C4:C7)/7)</f>
        <v>6.2857142857142865</v>
      </c>
      <c r="G10" s="6">
        <f>F10-(SUM(C4:C7)/7)</f>
        <v>4.7142857142857153</v>
      </c>
      <c r="H10" s="6">
        <f>G10-(SUM(C4:C7)/7)</f>
        <v>3.1428571428571441</v>
      </c>
      <c r="I10" s="6">
        <f>H10-(SUM(C4:C7)/7)</f>
        <v>1.5714285714285727</v>
      </c>
      <c r="J10" s="6">
        <f>I10-(SUM(C4:C7)/7)</f>
        <v>0</v>
      </c>
    </row>
    <row r="11" spans="1:11" ht="15.75" customHeight="1" x14ac:dyDescent="0.25"/>
    <row r="12" spans="1:11" ht="15.75" customHeight="1" x14ac:dyDescent="0.25"/>
    <row r="13" spans="1:11" ht="15.75" customHeight="1" x14ac:dyDescent="0.25"/>
    <row r="14" spans="1:11" ht="15.75" customHeight="1" x14ac:dyDescent="0.25"/>
    <row r="15" spans="1:11" ht="15.75" customHeight="1" x14ac:dyDescent="0.25"/>
    <row r="16" spans="1:11" ht="15.75" customHeight="1" x14ac:dyDescent="0.25"/>
    <row r="17" spans="2:5" ht="15.75" customHeight="1" x14ac:dyDescent="0.25"/>
    <row r="18" spans="2:5" ht="15.75" customHeight="1" x14ac:dyDescent="0.25"/>
    <row r="19" spans="2:5" ht="15.75" customHeight="1" x14ac:dyDescent="0.25">
      <c r="B19" s="38"/>
      <c r="C19" s="38"/>
      <c r="D19" s="38"/>
      <c r="E19" s="38"/>
    </row>
    <row r="20" spans="2:5" ht="15.75" customHeight="1" x14ac:dyDescent="0.25">
      <c r="B20" s="38"/>
      <c r="C20" s="38"/>
      <c r="D20" s="38"/>
      <c r="E20" s="38"/>
    </row>
    <row r="21" spans="2:5" ht="15.75" customHeight="1" x14ac:dyDescent="0.25">
      <c r="B21" s="38"/>
      <c r="C21" s="38"/>
      <c r="D21" s="38"/>
      <c r="E21" s="38"/>
    </row>
    <row r="22" spans="2:5" ht="15.75" customHeight="1" x14ac:dyDescent="0.25">
      <c r="B22" s="38"/>
      <c r="C22" s="38"/>
      <c r="D22" s="38"/>
      <c r="E22" s="38"/>
    </row>
    <row r="23" spans="2:5" ht="15.75" customHeight="1" x14ac:dyDescent="0.25">
      <c r="B23" s="38"/>
      <c r="C23" s="38"/>
      <c r="D23" s="38"/>
      <c r="E23" s="38"/>
    </row>
    <row r="24" spans="2:5" ht="15.75" customHeight="1" x14ac:dyDescent="0.25">
      <c r="B24" s="38"/>
      <c r="C24" s="38"/>
      <c r="D24" s="38"/>
      <c r="E24" s="38"/>
    </row>
    <row r="25" spans="2:5" ht="15.75" customHeight="1" x14ac:dyDescent="0.25">
      <c r="B25" s="38"/>
      <c r="C25" s="38"/>
      <c r="D25" s="38"/>
      <c r="E25" s="38"/>
    </row>
    <row r="26" spans="2:5" ht="15.75" customHeight="1" x14ac:dyDescent="0.25">
      <c r="B26" s="38"/>
      <c r="C26" s="38"/>
      <c r="D26" s="38"/>
      <c r="E26" s="38"/>
    </row>
    <row r="27" spans="2:5" ht="15.75" customHeight="1" x14ac:dyDescent="0.25">
      <c r="B27" s="38"/>
      <c r="C27" s="38"/>
      <c r="D27" s="38"/>
      <c r="E27" s="38"/>
    </row>
    <row r="28" spans="2:5" ht="15.75" customHeight="1" x14ac:dyDescent="0.25">
      <c r="B28" s="38"/>
      <c r="C28" s="38"/>
      <c r="D28" s="38"/>
      <c r="E28" s="38"/>
    </row>
    <row r="29" spans="2:5" ht="15.75" customHeight="1" x14ac:dyDescent="0.25">
      <c r="B29" s="38"/>
      <c r="C29" s="38"/>
      <c r="D29" s="38"/>
      <c r="E29" s="38"/>
    </row>
    <row r="30" spans="2:5" ht="15.75" customHeight="1" x14ac:dyDescent="0.25"/>
    <row r="31" spans="2:5" ht="15.75" customHeight="1" x14ac:dyDescent="0.25"/>
    <row r="32" spans="2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</sheetData>
  <mergeCells count="1">
    <mergeCell ref="B19:E29"/>
  </mergeCells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Backlog</vt:lpstr>
      <vt:lpstr>Sprint1</vt:lpstr>
      <vt:lpstr>burdonchart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pc</dc:creator>
  <cp:keywords/>
  <dc:description/>
  <cp:lastModifiedBy>pc</cp:lastModifiedBy>
  <cp:revision/>
  <dcterms:created xsi:type="dcterms:W3CDTF">2023-01-13T00:08:30Z</dcterms:created>
  <dcterms:modified xsi:type="dcterms:W3CDTF">2026-05-29T16:12:43Z</dcterms:modified>
  <cp:category/>
  <cp:contentStatus/>
</cp:coreProperties>
</file>