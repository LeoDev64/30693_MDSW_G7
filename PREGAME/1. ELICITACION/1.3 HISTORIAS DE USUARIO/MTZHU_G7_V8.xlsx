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opo\Downloads\"/>
    </mc:Choice>
  </mc:AlternateContent>
  <xr:revisionPtr revIDLastSave="0" documentId="8_{96172D05-FFB8-4094-B946-0B8E06D8750A}" xr6:coauthVersionLast="47" xr6:coauthVersionMax="47" xr10:uidLastSave="{00000000-0000-0000-0000-000000000000}"/>
  <bookViews>
    <workbookView xWindow="-108" yWindow="-108" windowWidth="23256" windowHeight="12456" activeTab="1"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iEEwAAk1yeOpjPSIentOBUH5eyqA=="/>
    </ext>
  </extLst>
</workbook>
</file>

<file path=xl/calcChain.xml><?xml version="1.0" encoding="utf-8"?>
<calcChain xmlns="http://schemas.openxmlformats.org/spreadsheetml/2006/main">
  <c r="E19" i="2" l="1"/>
  <c r="M15" i="2" l="1"/>
  <c r="E22" i="2" l="1"/>
  <c r="E10" i="2"/>
  <c r="E13" i="2"/>
  <c r="L22" i="2" l="1"/>
  <c r="H15" i="2"/>
  <c r="D15" i="2"/>
  <c r="H13" i="2"/>
  <c r="C13" i="2"/>
  <c r="H10" i="2"/>
</calcChain>
</file>

<file path=xl/sharedStrings.xml><?xml version="1.0" encoding="utf-8"?>
<sst xmlns="http://schemas.openxmlformats.org/spreadsheetml/2006/main" count="153" uniqueCount="104">
  <si>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</si>
  <si>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</si>
  <si>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</si>
  <si>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</si>
  <si>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</si>
  <si>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</si>
  <si>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</si>
  <si>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</si>
  <si>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</si>
  <si>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</si>
  <si>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</si>
  <si>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</si>
  <si>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</si>
  <si>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</si>
  <si>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</si>
  <si>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</si>
  <si>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</si>
  <si>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No iniciado</t>
  </si>
  <si>
    <t xml:space="preserve">Media </t>
  </si>
  <si>
    <t>En proceso</t>
  </si>
  <si>
    <t>Baja</t>
  </si>
  <si>
    <t>Terminado</t>
  </si>
  <si>
    <t>Atrasado</t>
  </si>
  <si>
    <t>HISTORIA DE USUARIO (HU)</t>
  </si>
  <si>
    <t>USUARIO</t>
  </si>
  <si>
    <t>TIEMPO</t>
  </si>
  <si>
    <t>PROG. RESP</t>
  </si>
  <si>
    <t>QUE</t>
  </si>
  <si>
    <t>PARA QUE</t>
  </si>
  <si>
    <t>COMO</t>
  </si>
  <si>
    <t>NOMBRE HISTORIA</t>
  </si>
  <si>
    <t>PRUEBA</t>
  </si>
  <si>
    <t>REQ002</t>
  </si>
  <si>
    <t>REQ003</t>
  </si>
  <si>
    <t>El sistema no cuenta con control de ingreso para proteger la información de ventas y servicios.</t>
  </si>
  <si>
    <t>Garantizar que solo el personal autorizado acceda a los registros de la tienda.</t>
  </si>
  <si>
    <t>Administrador / Dueña</t>
  </si>
  <si>
    <t>Diseñar una pantalla de acceso. Validar las credenciales contra la base de datos para permitir o denegar el ingreso.</t>
  </si>
  <si>
    <t>Martin Palacios</t>
  </si>
  <si>
    <t>Matias Medina</t>
  </si>
  <si>
    <t>Leopoldo Bolaños</t>
  </si>
  <si>
    <t>2 horas</t>
  </si>
  <si>
    <t>6 horas</t>
  </si>
  <si>
    <t>4 horas</t>
  </si>
  <si>
    <t>Se intenta ingresar con un usuario falso y el sistema lo rechaza; al usar la clave correcta, permite entrar al menú principal.</t>
  </si>
  <si>
    <t>Acceso Seguro (Login)</t>
  </si>
  <si>
    <t>Venta de Productos (Tienda)</t>
  </si>
  <si>
    <t>Gestión de Servicios TAG</t>
  </si>
  <si>
    <t>REQ004</t>
  </si>
  <si>
    <t>REQ005</t>
  </si>
  <si>
    <t>REQ006</t>
  </si>
  <si>
    <t>No existe un registro digital para la venta rápida de productos con precio fijo como snacks y helados.</t>
  </si>
  <si>
    <t>El registro de homologaciones y trámites de peajes se realiza manualmente, causando desorden en la información</t>
  </si>
  <si>
    <t>No se cuenta con una base de datos para almacenar los datos de contacto de los clientes de servicios</t>
  </si>
  <si>
    <t>El sistema no permite registrar cobros de servicios con valores cambiantes como copias, micas e impresiones.</t>
  </si>
  <si>
    <t>El proceso de cierre diario es lento y propenso a errores humanos al sumar manualmente distintas categorías.</t>
  </si>
  <si>
    <t>Agilizar el cobro de productos físicos y mantener un control claro sobre las ventas de mostrador.</t>
  </si>
  <si>
    <t>Permitir el ingreso de precios dinámicos según el volumen de trabajo realizado en papelería y micas.</t>
  </si>
  <si>
    <t>Agosto</t>
  </si>
  <si>
    <t>El sistema deberá solicitar un inicio de sesión (Login) con usuario y contraseña.</t>
  </si>
  <si>
    <t>5 horas</t>
  </si>
  <si>
    <t>Gestión  de Servicio Variable</t>
  </si>
  <si>
    <t>REQ007</t>
  </si>
  <si>
    <t>REQ008</t>
  </si>
  <si>
    <t>REQ009</t>
  </si>
  <si>
    <t>3 horas</t>
  </si>
  <si>
    <t>Gestión de Caja Chica</t>
  </si>
  <si>
    <t>Registro y Desglose de Métodos de Pago</t>
  </si>
  <si>
    <t>El sistema deberá permitir seleccionar productos de tienda con nombre y precio fijo.</t>
  </si>
  <si>
    <t>Crear un catálogo visual de productos organizado por categorías. El usuario selecciona el producto y lo agrega a la venta actual.</t>
  </si>
  <si>
    <t>Se selecciona un producto, por ejemplo un helado o bebida, y el sistema lo agrega a la venta actual mostrando su cantidad, precio y subtotal.</t>
  </si>
  <si>
    <t>El sistema deberá permitir registrar y buscar clientes mediante cédula, nombres, celular y correo electrónico.</t>
  </si>
  <si>
    <t>Mantener una cartera de clientes organizada, facilitando el registro, consulta y validación de datos de contacto.</t>
  </si>
  <si>
    <t xml:space="preserve">Crear un módulo de Cartera de Clientes con campos para cédula, nombres completos, celular y correo electrónico. </t>
  </si>
  <si>
    <t>Se registra un cliente con cédula válida y el sistema lo valida y guarda correctamente. Luego se busca por cédula y se muestra la información registrada.</t>
  </si>
  <si>
    <t>Registro y Búsqueda de Clientes</t>
  </si>
  <si>
    <t>El sistema deberá permitir registrar servicios TAG y servicios fijos relacionados con peajes, activaciones, desactivaciones y solicitudes.</t>
  </si>
  <si>
    <t>Organizar los servicios por opciones predefinidas y evitar errores al escribir nombres o precios manualmente.</t>
  </si>
  <si>
    <t>Crear un módulo de servicios TAG con una lista de servicios fijos. Al seleccionar un servicio, el sistema muestra automáticamente su precio y lo agrega a la venta actual.</t>
  </si>
  <si>
    <t>Al seleccionar un servicio como Panavial el sistema asigna el precio correspondiente y permite agregarlo a la venta actual.</t>
  </si>
  <si>
    <t>El sistema deberá permitir registrar servicios variables mediante un concepto y un valor ingresado manualmente.</t>
  </si>
  <si>
    <t>Crear un módulo donde el usuario ingrese el concepto del servicio y el valor correspondiente.</t>
  </si>
  <si>
    <t>Se ingresa un servicio variable, por ejemplo “Mica” con valor 3.50, y el sistema lo agrega correctamente a la venta actual.</t>
  </si>
  <si>
    <t>El sistema deberá permitir consultar y guardar el cierre final de caja de la jornada.</t>
  </si>
  <si>
    <t>Obtener un resumen automático de los movimientos del día, separando productos, servicios y el total general de la jornada.</t>
  </si>
  <si>
    <t>Generar un reporte final que muestre productos, servicios TAG, servicios variables, métodos de pago, caja chica y gran total al guardar la jornada.</t>
  </si>
  <si>
    <t>El sistema muestra el reporte final del día con subtotales y gran total. Al presionar Guardar Jornada, el cierre se almacena correctamente en MongoDB.</t>
  </si>
  <si>
    <t>Gestión de Cierre de Caja</t>
  </si>
  <si>
    <t>Al inicio de la jornada laboral no se cuenta con un registro formal del dinero base destinado para dar vuelto, lo que dificulta el control del saldo inicial.</t>
  </si>
  <si>
    <t>El sistema deberá permitir registrar la caja chica actual y la caja chica para mañana dentro del cierre de caja.</t>
  </si>
  <si>
    <t>Asegurar continuidad entre jornadas y mantener un control claro del dinero base disponible para el siguiente día.</t>
  </si>
  <si>
    <t>Crear campos para caja chica actual y caja chica para mañana dentro de Cierre de Caja. Si no existe cierre anterior, se permite ingresar la caja chica actual inicial. Si existe un cierre previo, el sistema carga automáticamente la caja chica para mañana del último cierre.</t>
  </si>
  <si>
    <t>Se registra una caja chica para mañana de 20.00 y se guarda la jornada. Al reiniciar el sistema, el valor 20.00 aparece automáticamente como caja chica actual.</t>
  </si>
  <si>
    <t>No se cuenta con un mecanismo rápido para consultar y revisar el histórico de las facturas o reportes de cierres de caja de días anteriores, afectando el control administrativo</t>
  </si>
  <si>
    <t>El sistema deberá permitir buscar cierres de caja guardados mediante una fecha específica.</t>
  </si>
  <si>
    <t>Facilitar la consulta de cierres anteriores y permitir revisar reportes de jornadas pasadas de forma rápida.</t>
  </si>
  <si>
    <t>Crear un módulo de Historial de Cierres con un campo de fecha, botón de búsqueda, y uno para mostrar todos los cierres. El sistema consulta los cierres guardados en MongoDB y muestra los reportes encontrados.</t>
  </si>
  <si>
    <t>Se ingresa una fecha válida en el módulo Historial de Cierres y el sistema muestra el cierre de caja correspondiente a ese día.</t>
  </si>
  <si>
    <t>Búsqueda de Historial de Cierres por Fecha</t>
  </si>
  <si>
    <t>El sistema no diferencia los ingresos según la forma de pago, lo que impide cuadrar correctamente las cuentas bancarias y el efectivo en físico al final del día.</t>
  </si>
  <si>
    <t>El sistema deberá permitir registrar el método de pago utilizado en una venta actual.</t>
  </si>
  <si>
    <t>Conocer cuánto dinero se recaudó por efectivo, transferencia, tarjeta o pago mixto, facilitando el control del cierre diario.</t>
  </si>
  <si>
    <t>Crear un módulo específico de Método de Pago que muestre la venta actual, permita seleccionar efectivo, transferencia, tarjeta o mixto, valide los montos ingresados y envíe la venta pagada al cierre de caja.</t>
  </si>
  <si>
    <t>Se registra una venta y se selecciona un método de pago. Al confirmar, el sistema envía la venta al cierre de caja y muestra el desglose por método de pago en el reporte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</si>
</sst>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x14ac:knownFonts="1">
    <font>
      <sz val="11"/>
      <color theme="1"/>
      <name val="Arial"/>
      <scheme val="minor"/>
    </font>
    <font>
      <sz val="11"/>
      <color theme="1"/>
      <name val="Calibri"/>
      <family val="2"/>
    </font>
    <font>
      <sz val="11"/>
      <color theme="1"/>
      <name val="Arial"/>
      <family val="2"/>
    </font>
    <font>
      <b/>
      <i/>
      <sz val="16"/>
      <color theme="1"/>
      <name val="Calibri"/>
      <family val="2"/>
    </font>
    <font>
      <b/>
      <i/>
      <sz val="11"/>
      <color rgb="FF9C6500"/>
      <name val="Calibri"/>
      <family val="2"/>
    </font>
    <font>
      <sz val="10"/>
      <color theme="1"/>
      <name val="Calibri"/>
      <family val="2"/>
    </font>
    <font>
      <sz val="11"/>
      <color rgb="FF000000"/>
      <name val="Arial"/>
      <family val="2"/>
    </font>
    <font>
      <b/>
      <sz val="11"/>
      <color theme="1"/>
      <name val="Calibri"/>
      <family val="2"/>
    </font>
    <font>
      <b/>
      <sz val="16"/>
      <color theme="1"/>
      <name val="Calibri"/>
      <family val="2"/>
    </font>
    <font>
      <sz val="11"/>
      <name val="Arial"/>
      <family val="2"/>
    </font>
    <font>
      <b/>
      <sz val="11"/>
      <color theme="0"/>
      <name val="Calibri"/>
      <family val="2"/>
    </font>
    <font>
      <b/>
      <sz val="11"/>
      <color rgb="FFFA7D00"/>
      <name val="Calibri"/>
      <family val="2"/>
    </font>
    <font>
      <sz val="12"/>
      <color theme="1"/>
      <name val="Calibri"/>
      <family val="2"/>
    </font>
    <font>
      <sz val="9"/>
      <color theme="1"/>
      <name val="Calibri"/>
      <family val="2"/>
    </font>
    <font>
      <sz val="9"/>
      <color theme="1"/>
      <name val="Arial"/>
      <family val="2"/>
      <scheme val="minor"/>
    </font>
    <font>
      <sz val="10"/>
      <color rgb="FF000000"/>
      <name val="Calibri"/>
      <family val="2"/>
    </font>
    <font>
      <sz val="12"/>
      <color theme="1"/>
      <name val="Calibri"/>
      <family val="2"/>
    </font>
    <font>
      <sz val="9"/>
      <name val="Arial"/>
      <family val="2"/>
    </font>
    <font>
      <b/>
      <i/>
      <sz val="12"/>
      <color rgb="FF9C6500"/>
      <name val="Calibri"/>
      <family val="2"/>
    </font>
    <font>
      <b/>
      <sz val="11"/>
      <color theme="0"/>
      <name val="Calibri"/>
      <family val="2"/>
    </font>
    <font>
      <b/>
      <i/>
      <sz val="11"/>
      <color rgb="FFFF0000"/>
      <name val="Calibri"/>
      <family val="2"/>
    </font>
    <font>
      <sz val="8"/>
      <name val="Arial"/>
      <scheme val="minor"/>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5">
    <border>
      <left/>
      <right/>
      <top/>
      <bottom/>
      <diagonal/>
    </border>
    <border>
      <left style="thin">
        <color rgb="FFB2B2B2"/>
      </left>
      <right style="thin">
        <color rgb="FFB2B2B2"/>
      </right>
      <top style="thin">
        <color rgb="FFB2B2B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2">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1" fillId="0" borderId="0" xfId="0" applyFont="1"/>
    <xf numFmtId="0" fontId="4" fillId="2" borderId="1" xfId="0" applyFont="1" applyFill="1" applyBorder="1" applyAlignment="1">
      <alignment horizontal="center" vertical="center" wrapText="1"/>
    </xf>
    <xf numFmtId="0" fontId="2"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10" fillId="4" borderId="2" xfId="0" applyFont="1" applyFill="1" applyBorder="1" applyAlignment="1">
      <alignment horizontal="center" vertical="center"/>
    </xf>
    <xf numFmtId="0" fontId="11" fillId="3" borderId="6" xfId="0" applyFont="1" applyFill="1" applyBorder="1" applyAlignment="1">
      <alignment vertical="center"/>
    </xf>
    <xf numFmtId="0" fontId="2" fillId="3" borderId="6" xfId="0" applyFont="1" applyFill="1" applyBorder="1"/>
    <xf numFmtId="0" fontId="12" fillId="5" borderId="2" xfId="0" applyFont="1" applyFill="1" applyBorder="1" applyAlignment="1">
      <alignment horizontal="center" vertical="center"/>
    </xf>
    <xf numFmtId="0" fontId="1" fillId="3" borderId="6" xfId="0" applyFont="1" applyFill="1" applyBorder="1" applyAlignment="1">
      <alignment vertical="center" wrapText="1"/>
    </xf>
    <xf numFmtId="0" fontId="1" fillId="3" borderId="6" xfId="0" applyFont="1" applyFill="1" applyBorder="1" applyAlignment="1">
      <alignment vertical="center"/>
    </xf>
    <xf numFmtId="0" fontId="12" fillId="3" borderId="6" xfId="0" applyFont="1" applyFill="1" applyBorder="1" applyAlignment="1">
      <alignment horizontal="center" vertical="center"/>
    </xf>
    <xf numFmtId="0" fontId="1" fillId="3" borderId="6" xfId="0" applyFont="1" applyFill="1" applyBorder="1" applyAlignment="1">
      <alignment horizontal="center" vertical="center"/>
    </xf>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8" xfId="0" applyFont="1" applyFill="1" applyBorder="1"/>
    <xf numFmtId="0" fontId="7" fillId="3" borderId="10" xfId="0" applyFont="1" applyFill="1" applyBorder="1" applyAlignment="1">
      <alignment horizontal="left" vertical="center" wrapText="1"/>
    </xf>
    <xf numFmtId="0" fontId="1" fillId="3" borderId="10" xfId="0" applyFont="1" applyFill="1" applyBorder="1"/>
    <xf numFmtId="0" fontId="2" fillId="3" borderId="10" xfId="0" applyFont="1" applyFill="1" applyBorder="1"/>
    <xf numFmtId="0" fontId="2" fillId="3" borderId="9" xfId="0" applyFont="1" applyFill="1" applyBorder="1"/>
    <xf numFmtId="0" fontId="2" fillId="3" borderId="12" xfId="0" applyFont="1" applyFill="1" applyBorder="1"/>
    <xf numFmtId="0" fontId="2" fillId="3" borderId="13" xfId="0" applyFont="1" applyFill="1" applyBorder="1"/>
    <xf numFmtId="0" fontId="0" fillId="0" borderId="6" xfId="0" applyBorder="1"/>
    <xf numFmtId="0" fontId="5" fillId="0" borderId="6" xfId="0" applyFont="1" applyBorder="1" applyAlignment="1">
      <alignment vertical="center"/>
    </xf>
    <xf numFmtId="0" fontId="5" fillId="0" borderId="6" xfId="0" applyFont="1" applyBorder="1" applyAlignment="1">
      <alignment vertical="center" wrapText="1"/>
    </xf>
    <xf numFmtId="0" fontId="5" fillId="0" borderId="6" xfId="0" applyFont="1" applyBorder="1" applyAlignment="1">
      <alignment horizontal="center" vertical="center" wrapText="1"/>
    </xf>
    <xf numFmtId="164" fontId="5" fillId="0" borderId="6" xfId="0" applyNumberFormat="1" applyFont="1" applyBorder="1" applyAlignment="1">
      <alignment horizontal="center" vertical="center" wrapText="1"/>
    </xf>
    <xf numFmtId="0" fontId="20" fillId="2" borderId="1" xfId="0" applyFont="1" applyFill="1" applyBorder="1" applyAlignment="1">
      <alignment horizontal="center" vertical="center" wrapText="1"/>
    </xf>
    <xf numFmtId="0" fontId="15" fillId="0" borderId="24"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4" xfId="0" applyFont="1" applyBorder="1" applyAlignment="1">
      <alignment horizontal="center" vertical="center"/>
    </xf>
    <xf numFmtId="164" fontId="5" fillId="0" borderId="24" xfId="0" applyNumberFormat="1" applyFont="1" applyBorder="1" applyAlignment="1">
      <alignment horizontal="center" vertical="center" wrapText="1"/>
    </xf>
    <xf numFmtId="0" fontId="3" fillId="0" borderId="0" xfId="0" applyFont="1" applyAlignment="1">
      <alignment horizontal="center" vertical="center"/>
    </xf>
    <xf numFmtId="0" fontId="0" fillId="0" borderId="0" xfId="0"/>
    <xf numFmtId="0" fontId="19" fillId="6" borderId="7" xfId="0" applyFont="1" applyFill="1" applyBorder="1" applyAlignment="1">
      <alignment horizontal="center" vertical="center"/>
    </xf>
    <xf numFmtId="0" fontId="9" fillId="0" borderId="11" xfId="0" applyFont="1" applyBorder="1"/>
    <xf numFmtId="0" fontId="9" fillId="0" borderId="14" xfId="0" applyFont="1" applyBorder="1"/>
    <xf numFmtId="0" fontId="13" fillId="5" borderId="8" xfId="0" applyFont="1" applyFill="1" applyBorder="1" applyAlignment="1">
      <alignment horizontal="center" vertical="center" wrapText="1"/>
    </xf>
    <xf numFmtId="0" fontId="17" fillId="0" borderId="10" xfId="0" applyFont="1" applyBorder="1" applyAlignment="1">
      <alignment wrapText="1"/>
    </xf>
    <xf numFmtId="0" fontId="17" fillId="0" borderId="9" xfId="0" applyFont="1" applyBorder="1" applyAlignment="1">
      <alignment wrapText="1"/>
    </xf>
    <xf numFmtId="0" fontId="17" fillId="0" borderId="12" xfId="0" applyFont="1" applyBorder="1" applyAlignment="1">
      <alignment wrapText="1"/>
    </xf>
    <xf numFmtId="0" fontId="14" fillId="0" borderId="0" xfId="0" applyFont="1" applyAlignment="1">
      <alignment wrapText="1"/>
    </xf>
    <xf numFmtId="0" fontId="17" fillId="0" borderId="13" xfId="0" applyFont="1" applyBorder="1" applyAlignment="1">
      <alignment wrapText="1"/>
    </xf>
    <xf numFmtId="0" fontId="17" fillId="0" borderId="21" xfId="0" applyFont="1" applyBorder="1" applyAlignment="1">
      <alignment wrapText="1"/>
    </xf>
    <xf numFmtId="0" fontId="17" fillId="0" borderId="22" xfId="0" applyFont="1" applyBorder="1" applyAlignment="1">
      <alignment wrapText="1"/>
    </xf>
    <xf numFmtId="0" fontId="17" fillId="0" borderId="23" xfId="0" applyFont="1" applyBorder="1" applyAlignment="1">
      <alignment wrapText="1"/>
    </xf>
    <xf numFmtId="0" fontId="16" fillId="2" borderId="15" xfId="0" applyFont="1" applyFill="1" applyBorder="1" applyAlignment="1">
      <alignment horizontal="center" vertical="center"/>
    </xf>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10" fillId="4" borderId="3" xfId="0" applyFont="1" applyFill="1" applyBorder="1" applyAlignment="1">
      <alignment horizontal="center" vertical="center"/>
    </xf>
    <xf numFmtId="0" fontId="9" fillId="0" borderId="5" xfId="0" applyFont="1" applyBorder="1"/>
    <xf numFmtId="0" fontId="1" fillId="5" borderId="3" xfId="0" applyFont="1" applyFill="1" applyBorder="1" applyAlignment="1">
      <alignment horizontal="center" vertical="center"/>
    </xf>
    <xf numFmtId="0" fontId="10" fillId="6" borderId="7" xfId="0" applyFont="1" applyFill="1" applyBorder="1" applyAlignment="1">
      <alignment horizontal="center" vertical="center"/>
    </xf>
    <xf numFmtId="0" fontId="18" fillId="7" borderId="8" xfId="0" applyFont="1" applyFill="1" applyBorder="1" applyAlignment="1">
      <alignment horizontal="center" vertical="center"/>
    </xf>
    <xf numFmtId="0" fontId="9" fillId="0" borderId="9" xfId="0" applyFont="1" applyBorder="1"/>
    <xf numFmtId="0" fontId="9" fillId="0" borderId="21" xfId="0" applyFont="1" applyBorder="1"/>
    <xf numFmtId="0" fontId="9" fillId="0" borderId="23" xfId="0" applyFont="1" applyBorder="1"/>
    <xf numFmtId="0" fontId="10" fillId="4" borderId="8" xfId="0" applyFont="1" applyFill="1" applyBorder="1" applyAlignment="1">
      <alignment horizontal="center" vertical="center"/>
    </xf>
    <xf numFmtId="0" fontId="9" fillId="0" borderId="12" xfId="0" applyFont="1" applyBorder="1"/>
    <xf numFmtId="0" fontId="9" fillId="0" borderId="13" xfId="0" applyFont="1" applyBorder="1"/>
    <xf numFmtId="0" fontId="1" fillId="5" borderId="8" xfId="0" applyFont="1" applyFill="1" applyBorder="1" applyAlignment="1">
      <alignment horizontal="center" vertical="center" wrapText="1"/>
    </xf>
    <xf numFmtId="0" fontId="9" fillId="0" borderId="10" xfId="0" applyFont="1" applyBorder="1" applyAlignment="1">
      <alignment wrapText="1"/>
    </xf>
    <xf numFmtId="0" fontId="9" fillId="0" borderId="9" xfId="0" applyFont="1" applyBorder="1" applyAlignment="1">
      <alignment wrapText="1"/>
    </xf>
    <xf numFmtId="0" fontId="9" fillId="0" borderId="12" xfId="0" applyFont="1" applyBorder="1" applyAlignment="1">
      <alignment wrapText="1"/>
    </xf>
    <xf numFmtId="0" fontId="0" fillId="0" borderId="0" xfId="0" applyAlignment="1">
      <alignment wrapText="1"/>
    </xf>
    <xf numFmtId="0" fontId="9" fillId="0" borderId="13" xfId="0" applyFont="1" applyBorder="1" applyAlignment="1">
      <alignment wrapText="1"/>
    </xf>
    <xf numFmtId="0" fontId="9" fillId="0" borderId="21" xfId="0" applyFont="1" applyBorder="1" applyAlignment="1">
      <alignment wrapText="1"/>
    </xf>
    <xf numFmtId="0" fontId="9" fillId="0" borderId="22" xfId="0" applyFont="1" applyBorder="1" applyAlignment="1">
      <alignment wrapText="1"/>
    </xf>
    <xf numFmtId="0" fontId="9" fillId="0" borderId="23" xfId="0" applyFont="1" applyBorder="1" applyAlignment="1">
      <alignment wrapText="1"/>
    </xf>
    <xf numFmtId="0" fontId="8" fillId="3" borderId="3" xfId="0" applyFont="1" applyFill="1" applyBorder="1" applyAlignment="1">
      <alignment horizontal="center" vertical="center" wrapText="1"/>
    </xf>
    <xf numFmtId="0" fontId="9" fillId="0" borderId="4" xfId="0" applyFont="1" applyBorder="1"/>
    <xf numFmtId="0" fontId="1" fillId="5" borderId="3" xfId="0" applyFont="1" applyFill="1" applyBorder="1" applyAlignment="1">
      <alignment horizontal="center" vertical="center" wrapText="1"/>
    </xf>
    <xf numFmtId="0" fontId="9" fillId="0" borderId="5" xfId="0" applyFont="1" applyBorder="1" applyAlignment="1">
      <alignment wrapText="1"/>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9" fillId="0" borderId="10" xfId="0" applyFont="1" applyBorder="1"/>
    <xf numFmtId="0" fontId="9" fillId="0" borderId="22" xfId="0" applyFont="1" applyBorder="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P1000"/>
  <sheetViews>
    <sheetView showGridLines="0" topLeftCell="A10" zoomScale="70" zoomScaleNormal="70" workbookViewId="0">
      <selection activeCell="G12" sqref="G12"/>
    </sheetView>
  </sheetViews>
  <sheetFormatPr baseColWidth="10" defaultColWidth="12.59765625" defaultRowHeight="15" customHeight="1" x14ac:dyDescent="0.25"/>
  <cols>
    <col min="1" max="1" width="2" customWidth="1"/>
    <col min="2" max="2" width="8" bestFit="1" customWidth="1"/>
    <col min="3" max="5" width="20.59765625" customWidth="1"/>
    <col min="6" max="6" width="15" customWidth="1"/>
    <col min="7" max="7" width="28.5" customWidth="1"/>
    <col min="8" max="12" width="10.59765625" customWidth="1"/>
    <col min="13" max="15" width="20.59765625" customWidth="1"/>
    <col min="16" max="26" width="9.296875" customWidth="1"/>
  </cols>
  <sheetData>
    <row r="1" spans="2:16" ht="14.4" x14ac:dyDescent="0.3">
      <c r="I1" s="1"/>
      <c r="J1" s="1"/>
      <c r="K1" s="2"/>
      <c r="L1" s="3"/>
    </row>
    <row r="2" spans="2:16" ht="14.4" x14ac:dyDescent="0.3">
      <c r="I2" s="1"/>
      <c r="J2" s="1"/>
      <c r="K2" s="2"/>
      <c r="L2" s="3"/>
    </row>
    <row r="3" spans="2:16" ht="45" customHeight="1" x14ac:dyDescent="0.25">
      <c r="B3" s="38" t="s">
        <v>0</v>
      </c>
      <c r="C3" s="39"/>
      <c r="D3" s="39"/>
      <c r="E3" s="39"/>
      <c r="F3" s="39"/>
      <c r="G3" s="39"/>
      <c r="H3" s="39"/>
      <c r="I3" s="39"/>
      <c r="J3" s="39"/>
      <c r="K3" s="39"/>
      <c r="L3" s="39"/>
      <c r="M3" s="39"/>
      <c r="N3" s="39"/>
      <c r="O3" s="39"/>
    </row>
    <row r="4" spans="2:16" ht="14.4" x14ac:dyDescent="0.3">
      <c r="H4" s="4"/>
      <c r="I4" s="1"/>
      <c r="J4" s="1"/>
      <c r="K4" s="2"/>
      <c r="L4" s="3"/>
    </row>
    <row r="5" spans="2:16" ht="39.75" customHeight="1" x14ac:dyDescent="0.25">
      <c r="B5" s="5" t="s">
        <v>1</v>
      </c>
      <c r="C5" s="5" t="s">
        <v>2</v>
      </c>
      <c r="D5" s="33" t="s">
        <v>3</v>
      </c>
      <c r="E5" s="5" t="s">
        <v>4</v>
      </c>
      <c r="F5" s="5" t="s">
        <v>5</v>
      </c>
      <c r="G5" s="5" t="s">
        <v>6</v>
      </c>
      <c r="H5" s="5" t="s">
        <v>7</v>
      </c>
      <c r="I5" s="5" t="s">
        <v>8</v>
      </c>
      <c r="J5" s="5" t="s">
        <v>9</v>
      </c>
      <c r="K5" s="5" t="s">
        <v>10</v>
      </c>
      <c r="L5" s="5" t="s">
        <v>11</v>
      </c>
      <c r="M5" s="5" t="s">
        <v>12</v>
      </c>
      <c r="N5" s="5" t="s">
        <v>13</v>
      </c>
      <c r="O5" s="5" t="s">
        <v>14</v>
      </c>
    </row>
    <row r="6" spans="2:16" ht="99" customHeight="1" x14ac:dyDescent="0.25">
      <c r="B6" s="36" t="s">
        <v>15</v>
      </c>
      <c r="C6" s="35" t="s">
        <v>34</v>
      </c>
      <c r="D6" s="35" t="s">
        <v>59</v>
      </c>
      <c r="E6" s="35" t="s">
        <v>35</v>
      </c>
      <c r="F6" s="35" t="s">
        <v>36</v>
      </c>
      <c r="G6" s="35" t="s">
        <v>37</v>
      </c>
      <c r="H6" s="35" t="s">
        <v>38</v>
      </c>
      <c r="I6" s="35" t="s">
        <v>41</v>
      </c>
      <c r="J6" s="37" t="s">
        <v>58</v>
      </c>
      <c r="K6" s="35" t="s">
        <v>16</v>
      </c>
      <c r="L6" s="35" t="s">
        <v>21</v>
      </c>
      <c r="M6" s="34" t="s">
        <v>44</v>
      </c>
      <c r="N6" s="35"/>
      <c r="O6" s="35" t="s">
        <v>45</v>
      </c>
    </row>
    <row r="7" spans="2:16" ht="100.8" customHeight="1" x14ac:dyDescent="0.25">
      <c r="B7" s="36" t="s">
        <v>32</v>
      </c>
      <c r="C7" s="35" t="s">
        <v>51</v>
      </c>
      <c r="D7" s="35" t="s">
        <v>68</v>
      </c>
      <c r="E7" s="35" t="s">
        <v>56</v>
      </c>
      <c r="F7" s="35" t="s">
        <v>36</v>
      </c>
      <c r="G7" s="35" t="s">
        <v>69</v>
      </c>
      <c r="H7" s="35" t="s">
        <v>39</v>
      </c>
      <c r="I7" s="36" t="s">
        <v>42</v>
      </c>
      <c r="J7" s="37" t="s">
        <v>58</v>
      </c>
      <c r="K7" s="35" t="s">
        <v>16</v>
      </c>
      <c r="L7" s="35" t="s">
        <v>21</v>
      </c>
      <c r="M7" s="35" t="s">
        <v>70</v>
      </c>
      <c r="N7" s="35"/>
      <c r="O7" s="35" t="s">
        <v>46</v>
      </c>
    </row>
    <row r="8" spans="2:16" ht="92.4" customHeight="1" x14ac:dyDescent="0.25">
      <c r="B8" s="36" t="s">
        <v>33</v>
      </c>
      <c r="C8" s="35" t="s">
        <v>53</v>
      </c>
      <c r="D8" s="35" t="s">
        <v>71</v>
      </c>
      <c r="E8" s="35" t="s">
        <v>72</v>
      </c>
      <c r="F8" s="35" t="s">
        <v>36</v>
      </c>
      <c r="G8" s="35" t="s">
        <v>73</v>
      </c>
      <c r="H8" s="35" t="s">
        <v>40</v>
      </c>
      <c r="I8" s="35" t="s">
        <v>42</v>
      </c>
      <c r="J8" s="37" t="s">
        <v>58</v>
      </c>
      <c r="K8" s="35" t="s">
        <v>16</v>
      </c>
      <c r="L8" s="35" t="s">
        <v>21</v>
      </c>
      <c r="M8" s="34" t="s">
        <v>74</v>
      </c>
      <c r="N8" s="35"/>
      <c r="O8" s="35" t="s">
        <v>75</v>
      </c>
      <c r="P8" s="28"/>
    </row>
    <row r="9" spans="2:16" ht="114" customHeight="1" x14ac:dyDescent="0.25">
      <c r="B9" s="36" t="s">
        <v>48</v>
      </c>
      <c r="C9" s="35" t="s">
        <v>52</v>
      </c>
      <c r="D9" s="35" t="s">
        <v>76</v>
      </c>
      <c r="E9" s="35" t="s">
        <v>77</v>
      </c>
      <c r="F9" s="35" t="s">
        <v>36</v>
      </c>
      <c r="G9" s="35" t="s">
        <v>78</v>
      </c>
      <c r="H9" s="35" t="s">
        <v>38</v>
      </c>
      <c r="I9" s="35" t="s">
        <v>43</v>
      </c>
      <c r="J9" s="37" t="s">
        <v>58</v>
      </c>
      <c r="K9" s="35" t="s">
        <v>16</v>
      </c>
      <c r="L9" s="35" t="s">
        <v>21</v>
      </c>
      <c r="M9" s="34" t="s">
        <v>79</v>
      </c>
      <c r="N9" s="35"/>
      <c r="O9" s="35" t="s">
        <v>47</v>
      </c>
    </row>
    <row r="10" spans="2:16" ht="100.2" customHeight="1" x14ac:dyDescent="0.25">
      <c r="B10" s="36" t="s">
        <v>49</v>
      </c>
      <c r="C10" s="35" t="s">
        <v>54</v>
      </c>
      <c r="D10" s="35" t="s">
        <v>80</v>
      </c>
      <c r="E10" s="35" t="s">
        <v>57</v>
      </c>
      <c r="F10" s="35" t="s">
        <v>36</v>
      </c>
      <c r="G10" s="35" t="s">
        <v>81</v>
      </c>
      <c r="H10" s="35" t="s">
        <v>39</v>
      </c>
      <c r="I10" s="36" t="s">
        <v>60</v>
      </c>
      <c r="J10" s="37" t="s">
        <v>58</v>
      </c>
      <c r="K10" s="35" t="s">
        <v>16</v>
      </c>
      <c r="L10" s="35" t="s">
        <v>21</v>
      </c>
      <c r="M10" s="35" t="s">
        <v>82</v>
      </c>
      <c r="N10" s="35"/>
      <c r="O10" s="35" t="s">
        <v>61</v>
      </c>
    </row>
    <row r="11" spans="2:16" ht="95.4" customHeight="1" x14ac:dyDescent="0.25">
      <c r="B11" s="36" t="s">
        <v>50</v>
      </c>
      <c r="C11" s="35" t="s">
        <v>55</v>
      </c>
      <c r="D11" s="35" t="s">
        <v>83</v>
      </c>
      <c r="E11" s="35" t="s">
        <v>84</v>
      </c>
      <c r="F11" s="35" t="s">
        <v>36</v>
      </c>
      <c r="G11" s="35" t="s">
        <v>85</v>
      </c>
      <c r="H11" s="35" t="s">
        <v>40</v>
      </c>
      <c r="I11" s="35" t="s">
        <v>60</v>
      </c>
      <c r="J11" s="37" t="s">
        <v>58</v>
      </c>
      <c r="K11" s="35" t="s">
        <v>16</v>
      </c>
      <c r="L11" s="35" t="s">
        <v>21</v>
      </c>
      <c r="M11" s="34" t="s">
        <v>86</v>
      </c>
      <c r="N11" s="35"/>
      <c r="O11" s="35" t="s">
        <v>87</v>
      </c>
    </row>
    <row r="12" spans="2:16" ht="108.6" customHeight="1" x14ac:dyDescent="0.25">
      <c r="B12" s="36" t="s">
        <v>62</v>
      </c>
      <c r="C12" s="35" t="s">
        <v>88</v>
      </c>
      <c r="D12" s="35" t="s">
        <v>89</v>
      </c>
      <c r="E12" s="35" t="s">
        <v>90</v>
      </c>
      <c r="F12" s="35" t="s">
        <v>36</v>
      </c>
      <c r="G12" s="35" t="s">
        <v>91</v>
      </c>
      <c r="H12" s="35" t="s">
        <v>38</v>
      </c>
      <c r="I12" s="35" t="s">
        <v>65</v>
      </c>
      <c r="J12" s="37" t="s">
        <v>58</v>
      </c>
      <c r="K12" s="35" t="s">
        <v>16</v>
      </c>
      <c r="L12" s="35" t="s">
        <v>21</v>
      </c>
      <c r="M12" s="34" t="s">
        <v>92</v>
      </c>
      <c r="N12" s="35"/>
      <c r="O12" s="35" t="s">
        <v>66</v>
      </c>
    </row>
    <row r="13" spans="2:16" ht="114.6" customHeight="1" x14ac:dyDescent="0.25">
      <c r="B13" s="36" t="s">
        <v>63</v>
      </c>
      <c r="C13" s="35" t="s">
        <v>93</v>
      </c>
      <c r="D13" s="35" t="s">
        <v>94</v>
      </c>
      <c r="E13" s="35" t="s">
        <v>95</v>
      </c>
      <c r="F13" s="35" t="s">
        <v>36</v>
      </c>
      <c r="G13" s="35" t="s">
        <v>96</v>
      </c>
      <c r="H13" s="35" t="s">
        <v>39</v>
      </c>
      <c r="I13" s="36" t="s">
        <v>60</v>
      </c>
      <c r="J13" s="37" t="s">
        <v>58</v>
      </c>
      <c r="K13" s="35" t="s">
        <v>16</v>
      </c>
      <c r="L13" s="35" t="s">
        <v>21</v>
      </c>
      <c r="M13" s="35" t="s">
        <v>97</v>
      </c>
      <c r="N13" s="35"/>
      <c r="O13" s="35" t="s">
        <v>98</v>
      </c>
    </row>
    <row r="14" spans="2:16" ht="139.19999999999999" customHeight="1" x14ac:dyDescent="0.25">
      <c r="B14" s="36" t="s">
        <v>64</v>
      </c>
      <c r="C14" s="35" t="s">
        <v>99</v>
      </c>
      <c r="D14" s="35" t="s">
        <v>100</v>
      </c>
      <c r="E14" s="35" t="s">
        <v>101</v>
      </c>
      <c r="F14" s="35" t="s">
        <v>36</v>
      </c>
      <c r="G14" s="35" t="s">
        <v>102</v>
      </c>
      <c r="H14" s="35" t="s">
        <v>40</v>
      </c>
      <c r="I14" s="35" t="s">
        <v>41</v>
      </c>
      <c r="J14" s="37" t="s">
        <v>58</v>
      </c>
      <c r="K14" s="35" t="s">
        <v>16</v>
      </c>
      <c r="L14" s="35" t="s">
        <v>21</v>
      </c>
      <c r="M14" s="34" t="s">
        <v>103</v>
      </c>
      <c r="N14" s="35"/>
      <c r="O14" s="35" t="s">
        <v>67</v>
      </c>
    </row>
    <row r="15" spans="2:16" ht="39.75" customHeight="1" x14ac:dyDescent="0.25">
      <c r="B15" s="29"/>
      <c r="C15" s="30"/>
      <c r="D15" s="30"/>
      <c r="E15" s="30"/>
      <c r="F15" s="30"/>
      <c r="G15" s="30"/>
      <c r="H15" s="30"/>
      <c r="I15" s="31"/>
      <c r="J15" s="32"/>
      <c r="K15" s="31"/>
      <c r="L15" s="31"/>
      <c r="M15" s="30"/>
      <c r="N15" s="30"/>
      <c r="O15" s="30"/>
    </row>
    <row r="16" spans="2:16" ht="39.75" customHeight="1" x14ac:dyDescent="0.25">
      <c r="B16" s="29"/>
      <c r="C16" s="30"/>
      <c r="D16" s="30"/>
      <c r="E16" s="30"/>
      <c r="F16" s="30"/>
      <c r="G16" s="30"/>
      <c r="H16" s="30"/>
      <c r="I16" s="31"/>
      <c r="J16" s="32"/>
      <c r="K16" s="31"/>
      <c r="L16" s="31"/>
      <c r="M16" s="30"/>
      <c r="N16" s="30"/>
      <c r="O16" s="30"/>
    </row>
    <row r="17" spans="2:15" ht="39.75" customHeight="1" x14ac:dyDescent="0.25">
      <c r="B17" s="29"/>
      <c r="C17" s="30"/>
      <c r="D17" s="30"/>
      <c r="E17" s="30"/>
      <c r="F17" s="30"/>
      <c r="G17" s="30"/>
      <c r="H17" s="30"/>
      <c r="I17" s="31"/>
      <c r="J17" s="32"/>
      <c r="K17" s="31"/>
      <c r="L17" s="31"/>
      <c r="M17" s="30"/>
      <c r="N17" s="30"/>
      <c r="O17" s="30"/>
    </row>
    <row r="18" spans="2:15" ht="39.75" customHeight="1" x14ac:dyDescent="0.25">
      <c r="B18" s="29"/>
      <c r="C18" s="30"/>
      <c r="D18" s="30"/>
      <c r="E18" s="30"/>
      <c r="F18" s="30"/>
      <c r="G18" s="30"/>
      <c r="H18" s="30"/>
      <c r="I18" s="31"/>
      <c r="J18" s="32"/>
      <c r="K18" s="31"/>
      <c r="L18" s="31"/>
      <c r="M18" s="30"/>
      <c r="N18" s="30"/>
      <c r="O18" s="30"/>
    </row>
    <row r="19" spans="2:15" ht="19.5" customHeight="1" x14ac:dyDescent="0.25">
      <c r="B19" s="29"/>
      <c r="C19" s="30"/>
      <c r="D19" s="30"/>
      <c r="E19" s="30"/>
      <c r="F19" s="30"/>
      <c r="G19" s="30"/>
      <c r="H19" s="30"/>
      <c r="I19" s="31"/>
      <c r="J19" s="32"/>
      <c r="K19" s="31"/>
      <c r="L19" s="31"/>
      <c r="M19" s="30"/>
      <c r="N19" s="30"/>
      <c r="O19" s="30"/>
    </row>
    <row r="20" spans="2:15" ht="19.5" customHeight="1" x14ac:dyDescent="0.25">
      <c r="I20" s="3"/>
      <c r="J20" s="3"/>
      <c r="K20" s="6"/>
      <c r="L20" s="3"/>
    </row>
    <row r="21" spans="2:15" ht="19.5" customHeight="1" x14ac:dyDescent="0.3">
      <c r="I21" s="1"/>
      <c r="J21" s="1"/>
      <c r="K21" s="2"/>
      <c r="L21" s="3"/>
    </row>
    <row r="22" spans="2:15" ht="19.5" customHeight="1" x14ac:dyDescent="0.3">
      <c r="I22" s="1"/>
      <c r="J22" s="1"/>
      <c r="K22" s="2"/>
      <c r="L22" s="3"/>
    </row>
    <row r="23" spans="2:15" ht="19.5" customHeight="1" x14ac:dyDescent="0.3">
      <c r="I23" s="1"/>
      <c r="J23" s="1"/>
      <c r="K23" s="2"/>
      <c r="L23" s="3"/>
    </row>
    <row r="24" spans="2:15" ht="19.5" customHeight="1" x14ac:dyDescent="0.25">
      <c r="I24" s="1"/>
      <c r="J24" s="1"/>
      <c r="K24" s="7"/>
      <c r="L24" s="3"/>
    </row>
    <row r="25" spans="2:15" ht="19.5" customHeight="1" x14ac:dyDescent="0.25">
      <c r="I25" s="1"/>
      <c r="J25" s="1"/>
      <c r="K25" s="7"/>
      <c r="L25" s="3"/>
    </row>
    <row r="26" spans="2:15" ht="19.5" customHeight="1" x14ac:dyDescent="0.3">
      <c r="I26" s="1"/>
      <c r="J26" s="1"/>
      <c r="K26" s="2"/>
      <c r="L26" s="3"/>
    </row>
    <row r="27" spans="2:15" ht="19.5" customHeight="1" x14ac:dyDescent="0.3">
      <c r="I27" s="1"/>
      <c r="J27" s="1"/>
      <c r="K27" s="2"/>
      <c r="L27" s="3"/>
    </row>
    <row r="28" spans="2:15" ht="19.5" customHeight="1" x14ac:dyDescent="0.3">
      <c r="I28" s="1"/>
      <c r="J28" s="1"/>
      <c r="K28" s="2"/>
      <c r="L28" s="3"/>
    </row>
    <row r="29" spans="2:15" ht="19.5" customHeight="1" x14ac:dyDescent="0.3">
      <c r="I29" s="1"/>
      <c r="J29" s="1"/>
      <c r="K29" s="2" t="s">
        <v>16</v>
      </c>
      <c r="L29" s="1" t="s">
        <v>17</v>
      </c>
      <c r="M29" s="4"/>
    </row>
    <row r="30" spans="2:15" ht="19.5" customHeight="1" x14ac:dyDescent="0.3">
      <c r="I30" s="1"/>
      <c r="J30" s="1"/>
      <c r="K30" s="2" t="s">
        <v>18</v>
      </c>
      <c r="L30" s="1" t="s">
        <v>19</v>
      </c>
      <c r="M30" s="4"/>
    </row>
    <row r="31" spans="2:15" ht="19.5" customHeight="1" x14ac:dyDescent="0.3">
      <c r="I31" s="1"/>
      <c r="J31" s="1"/>
      <c r="K31" s="2" t="s">
        <v>20</v>
      </c>
      <c r="L31" s="1" t="s">
        <v>21</v>
      </c>
      <c r="M31" s="4"/>
    </row>
    <row r="32" spans="2:15" ht="19.5" customHeight="1" x14ac:dyDescent="0.3">
      <c r="I32" s="1"/>
      <c r="J32" s="1"/>
      <c r="K32" s="2"/>
      <c r="L32" s="1" t="s">
        <v>22</v>
      </c>
      <c r="M32" s="4"/>
    </row>
    <row r="33" spans="9:12" ht="19.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3">
      <c r="I987" s="1"/>
      <c r="J987" s="1"/>
      <c r="K987" s="2"/>
      <c r="L987" s="3"/>
    </row>
    <row r="988" spans="9:12" ht="15.75" customHeight="1" x14ac:dyDescent="0.3">
      <c r="I988" s="1"/>
      <c r="J988" s="1"/>
      <c r="K988" s="2"/>
      <c r="L988" s="3"/>
    </row>
    <row r="989" spans="9:12" ht="15.75" customHeight="1" x14ac:dyDescent="0.3">
      <c r="I989" s="1"/>
      <c r="J989" s="1"/>
      <c r="K989" s="2"/>
      <c r="L989" s="3"/>
    </row>
    <row r="990" spans="9:12" ht="15.75" customHeight="1" x14ac:dyDescent="0.3">
      <c r="I990" s="1"/>
      <c r="J990" s="1"/>
      <c r="K990" s="2"/>
      <c r="L990" s="3"/>
    </row>
    <row r="991" spans="9:12" ht="15.75" customHeight="1" x14ac:dyDescent="0.3">
      <c r="I991" s="1"/>
      <c r="J991" s="1"/>
      <c r="K991" s="2"/>
      <c r="L991" s="3"/>
    </row>
    <row r="992" spans="9:12" ht="15.75" customHeight="1" x14ac:dyDescent="0.3">
      <c r="I992" s="1"/>
      <c r="J992" s="1"/>
      <c r="K992" s="2"/>
      <c r="L992" s="3"/>
    </row>
    <row r="993" spans="9:12" ht="15.75" customHeight="1" x14ac:dyDescent="0.3">
      <c r="I993" s="1"/>
      <c r="J993" s="1"/>
      <c r="K993" s="2"/>
      <c r="L993" s="3"/>
    </row>
    <row r="994" spans="9:12" ht="15.75" customHeight="1" x14ac:dyDescent="0.3">
      <c r="I994" s="1"/>
      <c r="J994" s="1"/>
      <c r="K994" s="2"/>
      <c r="L994" s="3"/>
    </row>
    <row r="995" spans="9:12" ht="15.75" customHeight="1" x14ac:dyDescent="0.3">
      <c r="I995" s="1"/>
      <c r="J995" s="1"/>
      <c r="K995" s="2"/>
      <c r="L995" s="3"/>
    </row>
    <row r="996" spans="9:12" ht="15.75" customHeight="1" x14ac:dyDescent="0.3">
      <c r="I996" s="1"/>
      <c r="J996" s="1"/>
      <c r="K996" s="2"/>
      <c r="L996" s="3"/>
    </row>
    <row r="997" spans="9:12" ht="15.75" customHeight="1" x14ac:dyDescent="0.3">
      <c r="I997" s="1"/>
      <c r="J997" s="1"/>
      <c r="K997" s="2"/>
      <c r="L997" s="3"/>
    </row>
    <row r="998" spans="9:12" ht="15.75" customHeight="1" x14ac:dyDescent="0.3">
      <c r="I998" s="1"/>
      <c r="J998" s="1"/>
      <c r="K998" s="2"/>
      <c r="L998" s="3"/>
    </row>
    <row r="999" spans="9:12" ht="15.75" customHeight="1" x14ac:dyDescent="0.25">
      <c r="I999" s="3"/>
      <c r="J999" s="3"/>
      <c r="K999" s="6"/>
      <c r="L999" s="3"/>
    </row>
    <row r="1000" spans="9:12" ht="15" customHeight="1" x14ac:dyDescent="0.25">
      <c r="I1000" s="3"/>
      <c r="J1000" s="3"/>
      <c r="K1000" s="6"/>
      <c r="L1000" s="3"/>
    </row>
  </sheetData>
  <mergeCells count="1">
    <mergeCell ref="B3:O3"/>
  </mergeCells>
  <phoneticPr fontId="21" type="noConversion"/>
  <dataValidations count="2">
    <dataValidation type="list" allowBlank="1" showErrorMessage="1" sqref="L6:L19" xr:uid="{00000000-0002-0000-0000-000000000000}">
      <formula1>$L$29:$L$32</formula1>
    </dataValidation>
    <dataValidation type="list" allowBlank="1" showErrorMessage="1" sqref="K6:K19" xr:uid="{00000000-0002-0000-0000-000001000000}">
      <formula1>$K$29:$K$31</formula1>
    </dataValidation>
  </dataValidations>
  <printOptions horizontalCentered="1"/>
  <pageMargins left="0.31496062992125984" right="0.31496062992125984" top="0.74803149606299213" bottom="0.55118110236220474" header="0" footer="0"/>
  <pageSetup paperSize="9" scale="4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tabSelected="1" zoomScale="70" zoomScaleNormal="70" workbookViewId="0">
      <selection activeCell="C10" sqref="C10"/>
    </sheetView>
  </sheetViews>
  <sheetFormatPr baseColWidth="10" defaultColWidth="12.59765625" defaultRowHeight="15" customHeight="1" x14ac:dyDescent="0.25"/>
  <cols>
    <col min="1" max="1" width="9.296875" customWidth="1"/>
    <col min="2" max="2" width="2.59765625" customWidth="1"/>
    <col min="3" max="15" width="10.59765625" customWidth="1"/>
    <col min="16" max="16" width="2.59765625" customWidth="1"/>
    <col min="17" max="26" width="9.296875" customWidth="1"/>
  </cols>
  <sheetData>
    <row r="2" spans="2:16" ht="15" hidden="1" customHeight="1" x14ac:dyDescent="0.25"/>
    <row r="3" spans="2:16" ht="15" hidden="1" customHeight="1" x14ac:dyDescent="0.25"/>
    <row r="4" spans="2:16" ht="14.4" hidden="1" x14ac:dyDescent="0.3">
      <c r="C4" s="8"/>
      <c r="D4" s="8"/>
      <c r="E4" s="8"/>
      <c r="F4" s="4"/>
    </row>
    <row r="5" spans="2:16" ht="14.4" hidden="1" x14ac:dyDescent="0.3">
      <c r="C5" s="8"/>
      <c r="D5" s="8"/>
      <c r="E5" s="8"/>
      <c r="F5" s="4"/>
    </row>
    <row r="6" spans="2:16" ht="39.75" customHeight="1" x14ac:dyDescent="0.25">
      <c r="B6" s="78" t="s">
        <v>23</v>
      </c>
      <c r="C6" s="79"/>
      <c r="D6" s="79"/>
      <c r="E6" s="79"/>
      <c r="F6" s="79"/>
      <c r="G6" s="79"/>
      <c r="H6" s="79"/>
      <c r="I6" s="79"/>
      <c r="J6" s="79"/>
      <c r="K6" s="79"/>
      <c r="L6" s="79"/>
      <c r="M6" s="79"/>
      <c r="N6" s="79"/>
      <c r="O6" s="79"/>
      <c r="P6" s="59"/>
    </row>
    <row r="7" spans="2:16" ht="9.75" customHeight="1" x14ac:dyDescent="0.25">
      <c r="C7" s="9"/>
      <c r="D7" s="9"/>
      <c r="E7" s="9"/>
      <c r="F7" s="9"/>
      <c r="G7" s="9"/>
      <c r="H7" s="9"/>
      <c r="I7" s="9"/>
      <c r="J7" s="9"/>
      <c r="K7" s="9"/>
      <c r="L7" s="9"/>
      <c r="M7" s="9"/>
      <c r="N7" s="9"/>
      <c r="O7" s="9"/>
    </row>
    <row r="8" spans="2:16" ht="9.75" customHeight="1" x14ac:dyDescent="0.3">
      <c r="B8" s="21"/>
      <c r="C8" s="22"/>
      <c r="D8" s="22"/>
      <c r="E8" s="22"/>
      <c r="F8" s="23"/>
      <c r="G8" s="24"/>
      <c r="H8" s="24"/>
      <c r="I8" s="24"/>
      <c r="J8" s="24"/>
      <c r="K8" s="24"/>
      <c r="L8" s="24"/>
      <c r="M8" s="24"/>
      <c r="N8" s="24"/>
      <c r="O8" s="24"/>
      <c r="P8" s="25"/>
    </row>
    <row r="9" spans="2:16" ht="30" customHeight="1" x14ac:dyDescent="0.25">
      <c r="B9" s="26"/>
      <c r="C9" s="10" t="s">
        <v>1</v>
      </c>
      <c r="D9" s="11"/>
      <c r="E9" s="58" t="s">
        <v>24</v>
      </c>
      <c r="F9" s="59"/>
      <c r="G9" s="11"/>
      <c r="H9" s="58" t="s">
        <v>11</v>
      </c>
      <c r="I9" s="59"/>
      <c r="J9" s="12"/>
      <c r="K9" s="12"/>
      <c r="L9" s="12"/>
      <c r="M9" s="12"/>
      <c r="N9" s="12"/>
      <c r="O9" s="12"/>
      <c r="P9" s="27"/>
    </row>
    <row r="10" spans="2:16" ht="30" customHeight="1" x14ac:dyDescent="0.25">
      <c r="B10" s="26"/>
      <c r="C10" s="13" t="s">
        <v>15</v>
      </c>
      <c r="D10" s="14"/>
      <c r="E10" s="80" t="str">
        <f>VLOOKUP(C10,'Formato descripción HU'!B6:O19,5,0)</f>
        <v>Administrador / Dueña</v>
      </c>
      <c r="F10" s="81"/>
      <c r="G10" s="15"/>
      <c r="H10" s="60" t="str">
        <f>VLOOKUP(C10,'Formato descripción HU'!B6:O19,11,0)</f>
        <v>Terminado</v>
      </c>
      <c r="I10" s="59"/>
      <c r="J10" s="15"/>
      <c r="K10" s="12"/>
      <c r="L10" s="12"/>
      <c r="M10" s="12"/>
      <c r="N10" s="12"/>
      <c r="O10" s="12"/>
      <c r="P10" s="27"/>
    </row>
    <row r="11" spans="2:16" ht="9.75" customHeight="1" x14ac:dyDescent="0.25">
      <c r="B11" s="26"/>
      <c r="C11" s="16"/>
      <c r="D11" s="14"/>
      <c r="E11" s="17"/>
      <c r="F11" s="17"/>
      <c r="G11" s="15"/>
      <c r="H11" s="17"/>
      <c r="I11" s="17"/>
      <c r="J11" s="15"/>
      <c r="K11" s="17"/>
      <c r="L11" s="17"/>
      <c r="M11" s="12"/>
      <c r="N11" s="17"/>
      <c r="O11" s="17"/>
      <c r="P11" s="27"/>
    </row>
    <row r="12" spans="2:16" ht="30" customHeight="1" x14ac:dyDescent="0.25">
      <c r="B12" s="26"/>
      <c r="C12" s="10" t="s">
        <v>25</v>
      </c>
      <c r="D12" s="14"/>
      <c r="E12" s="58" t="s">
        <v>10</v>
      </c>
      <c r="F12" s="59"/>
      <c r="G12" s="15"/>
      <c r="H12" s="58" t="s">
        <v>26</v>
      </c>
      <c r="I12" s="59"/>
      <c r="J12" s="15"/>
      <c r="K12" s="17"/>
      <c r="L12" s="17"/>
      <c r="M12" s="12"/>
      <c r="N12" s="17"/>
      <c r="O12" s="17"/>
      <c r="P12" s="27"/>
    </row>
    <row r="13" spans="2:16" ht="30" customHeight="1" x14ac:dyDescent="0.25">
      <c r="B13" s="26"/>
      <c r="C13" s="13" t="str">
        <f>VLOOKUP('Historia de Usuario'!C10,'Formato descripción HU'!B6:O19,8,0)</f>
        <v>2 horas</v>
      </c>
      <c r="D13" s="14"/>
      <c r="E13" s="60" t="str">
        <f>VLOOKUP(C10,'Formato descripción HU'!B6:O19,10,0)</f>
        <v>Alta</v>
      </c>
      <c r="F13" s="59"/>
      <c r="G13" s="15"/>
      <c r="H13" s="60" t="str">
        <f>VLOOKUP(C10,'Formato descripción HU'!B6:O19,7,0)</f>
        <v>Martin Palacios</v>
      </c>
      <c r="I13" s="59"/>
      <c r="J13" s="15"/>
      <c r="K13" s="17"/>
      <c r="L13" s="17"/>
      <c r="M13" s="12"/>
      <c r="N13" s="17"/>
      <c r="O13" s="17"/>
      <c r="P13" s="27"/>
    </row>
    <row r="14" spans="2:16" ht="9.75" customHeight="1" x14ac:dyDescent="0.25">
      <c r="B14" s="26"/>
      <c r="C14" s="12"/>
      <c r="D14" s="14"/>
      <c r="E14" s="12"/>
      <c r="F14" s="12"/>
      <c r="G14" s="15"/>
      <c r="H14" s="15"/>
      <c r="I14" s="12"/>
      <c r="J14" s="12"/>
      <c r="K14" s="12"/>
      <c r="L14" s="12"/>
      <c r="M14" s="12"/>
      <c r="N14" s="12"/>
      <c r="O14" s="12"/>
      <c r="P14" s="27"/>
    </row>
    <row r="15" spans="2:16" ht="19.5" customHeight="1" x14ac:dyDescent="0.25">
      <c r="B15" s="26"/>
      <c r="C15" s="61" t="s">
        <v>27</v>
      </c>
      <c r="D15" s="69" t="str">
        <f>VLOOKUP(C10,'Formato descripción HU'!B6:O19,3,0)</f>
        <v>El sistema deberá solicitar un inicio de sesión (Login) con usuario y contraseña.</v>
      </c>
      <c r="E15" s="63"/>
      <c r="F15" s="12"/>
      <c r="G15" s="61" t="s">
        <v>28</v>
      </c>
      <c r="H15" s="69" t="str">
        <f>VLOOKUP(C10,'Formato descripción HU'!B6:O19,4,0)</f>
        <v>Garantizar que solo el personal autorizado acceda a los registros de la tienda.</v>
      </c>
      <c r="I15" s="90"/>
      <c r="J15" s="63"/>
      <c r="K15" s="12"/>
      <c r="L15" s="40" t="s">
        <v>29</v>
      </c>
      <c r="M15" s="43" t="str">
        <f>VLOOKUP(C10,'Formato descripción HU'!B6:O19,6,0)</f>
        <v>Diseñar una pantalla de acceso. Validar las credenciales contra la base de datos para permitir o denegar el ingreso.</v>
      </c>
      <c r="N15" s="44"/>
      <c r="O15" s="45"/>
      <c r="P15" s="27"/>
    </row>
    <row r="16" spans="2:16" ht="19.5" customHeight="1" x14ac:dyDescent="0.25">
      <c r="B16" s="26"/>
      <c r="C16" s="41"/>
      <c r="D16" s="67"/>
      <c r="E16" s="68"/>
      <c r="F16" s="12"/>
      <c r="G16" s="41"/>
      <c r="H16" s="67"/>
      <c r="I16" s="39"/>
      <c r="J16" s="68"/>
      <c r="K16" s="12"/>
      <c r="L16" s="41"/>
      <c r="M16" s="46"/>
      <c r="N16" s="47"/>
      <c r="O16" s="48"/>
      <c r="P16" s="27"/>
    </row>
    <row r="17" spans="2:16" ht="19.5" customHeight="1" x14ac:dyDescent="0.25">
      <c r="B17" s="26"/>
      <c r="C17" s="42"/>
      <c r="D17" s="64"/>
      <c r="E17" s="65"/>
      <c r="F17" s="12"/>
      <c r="G17" s="42"/>
      <c r="H17" s="64"/>
      <c r="I17" s="91"/>
      <c r="J17" s="65"/>
      <c r="K17" s="12"/>
      <c r="L17" s="42"/>
      <c r="M17" s="49"/>
      <c r="N17" s="50"/>
      <c r="O17" s="51"/>
      <c r="P17" s="27"/>
    </row>
    <row r="18" spans="2:16" ht="9.75" customHeight="1" x14ac:dyDescent="0.25">
      <c r="B18" s="26"/>
      <c r="C18" s="12"/>
      <c r="D18" s="12"/>
      <c r="E18" s="12"/>
      <c r="F18" s="12"/>
      <c r="G18" s="15"/>
      <c r="H18" s="15"/>
      <c r="I18" s="15"/>
      <c r="J18" s="12"/>
      <c r="K18" s="12"/>
      <c r="L18" s="12"/>
      <c r="M18" s="12"/>
      <c r="N18" s="12"/>
      <c r="O18" s="12"/>
      <c r="P18" s="27"/>
    </row>
    <row r="19" spans="2:16" ht="19.5" customHeight="1" x14ac:dyDescent="0.25">
      <c r="B19" s="26"/>
      <c r="C19" s="62" t="s">
        <v>30</v>
      </c>
      <c r="D19" s="63"/>
      <c r="E19" s="52" t="str">
        <f>VLOOKUP(C10,'Formato descripción HU'!B6:O18,14,0)</f>
        <v>Acceso Seguro (Login)</v>
      </c>
      <c r="F19" s="53"/>
      <c r="G19" s="53"/>
      <c r="H19" s="53"/>
      <c r="I19" s="53"/>
      <c r="J19" s="53"/>
      <c r="K19" s="53"/>
      <c r="L19" s="53"/>
      <c r="M19" s="53"/>
      <c r="N19" s="53"/>
      <c r="O19" s="54"/>
      <c r="P19" s="27"/>
    </row>
    <row r="20" spans="2:16" ht="19.5" customHeight="1" x14ac:dyDescent="0.25">
      <c r="B20" s="26"/>
      <c r="C20" s="64"/>
      <c r="D20" s="65"/>
      <c r="E20" s="55"/>
      <c r="F20" s="56"/>
      <c r="G20" s="56"/>
      <c r="H20" s="56"/>
      <c r="I20" s="56"/>
      <c r="J20" s="56"/>
      <c r="K20" s="56"/>
      <c r="L20" s="56"/>
      <c r="M20" s="56"/>
      <c r="N20" s="56"/>
      <c r="O20" s="57"/>
      <c r="P20" s="27"/>
    </row>
    <row r="21" spans="2:16" ht="9.75" customHeight="1" x14ac:dyDescent="0.25">
      <c r="B21" s="26"/>
      <c r="C21" s="12"/>
      <c r="D21" s="12"/>
      <c r="E21" s="12"/>
      <c r="F21" s="12"/>
      <c r="G21" s="12"/>
      <c r="H21" s="12"/>
      <c r="I21" s="12"/>
      <c r="J21" s="12"/>
      <c r="K21" s="12"/>
      <c r="L21" s="12"/>
      <c r="M21" s="12"/>
      <c r="N21" s="12"/>
      <c r="O21" s="12"/>
      <c r="P21" s="27"/>
    </row>
    <row r="22" spans="2:16" ht="19.5" customHeight="1" x14ac:dyDescent="0.25">
      <c r="B22" s="26"/>
      <c r="C22" s="66" t="s">
        <v>31</v>
      </c>
      <c r="D22" s="63"/>
      <c r="E22" s="69" t="str">
        <f>VLOOKUP(C10,'Formato descripción HU'!B6:O19,12,0)</f>
        <v>Se intenta ingresar con un usuario falso y el sistema lo rechaza; al usar la clave correcta, permite entrar al menú principal.</v>
      </c>
      <c r="F22" s="70"/>
      <c r="G22" s="70"/>
      <c r="H22" s="71"/>
      <c r="I22" s="12"/>
      <c r="J22" s="66" t="s">
        <v>13</v>
      </c>
      <c r="K22" s="63"/>
      <c r="L22" s="69">
        <f>VLOOKUP(C10,'Formato descripción HU'!B6:O19,13,0)</f>
        <v>0</v>
      </c>
      <c r="M22" s="82"/>
      <c r="N22" s="82"/>
      <c r="O22" s="83"/>
      <c r="P22" s="27"/>
    </row>
    <row r="23" spans="2:16" ht="19.5" customHeight="1" x14ac:dyDescent="0.25">
      <c r="B23" s="26"/>
      <c r="C23" s="67"/>
      <c r="D23" s="68"/>
      <c r="E23" s="72"/>
      <c r="F23" s="73"/>
      <c r="G23" s="73"/>
      <c r="H23" s="74"/>
      <c r="I23" s="12"/>
      <c r="J23" s="67"/>
      <c r="K23" s="68"/>
      <c r="L23" s="84"/>
      <c r="M23" s="85"/>
      <c r="N23" s="85"/>
      <c r="O23" s="86"/>
      <c r="P23" s="27"/>
    </row>
    <row r="24" spans="2:16" ht="19.5" customHeight="1" x14ac:dyDescent="0.25">
      <c r="B24" s="26"/>
      <c r="C24" s="64"/>
      <c r="D24" s="65"/>
      <c r="E24" s="75"/>
      <c r="F24" s="76"/>
      <c r="G24" s="76"/>
      <c r="H24" s="77"/>
      <c r="I24" s="12"/>
      <c r="J24" s="64"/>
      <c r="K24" s="65"/>
      <c r="L24" s="87"/>
      <c r="M24" s="88"/>
      <c r="N24" s="88"/>
      <c r="O24" s="89"/>
      <c r="P24" s="27"/>
    </row>
    <row r="25" spans="2:16" ht="9.75" customHeight="1" x14ac:dyDescent="0.25">
      <c r="B25" s="18"/>
      <c r="C25" s="19"/>
      <c r="D25" s="19"/>
      <c r="E25" s="19"/>
      <c r="F25" s="19"/>
      <c r="G25" s="19"/>
      <c r="H25" s="19"/>
      <c r="I25" s="19"/>
      <c r="J25" s="19"/>
      <c r="K25" s="19"/>
      <c r="L25" s="19"/>
      <c r="M25" s="19"/>
      <c r="N25" s="19"/>
      <c r="O25" s="19"/>
      <c r="P25" s="20"/>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HU'!$B$6:$B$19</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Leo Bolaños</cp:lastModifiedBy>
  <cp:revision/>
  <cp:lastPrinted>2022-11-25T05:25:55Z</cp:lastPrinted>
  <dcterms:created xsi:type="dcterms:W3CDTF">2019-10-21T15:37:14Z</dcterms:created>
  <dcterms:modified xsi:type="dcterms:W3CDTF">2026-07-22T16:57:11Z</dcterms:modified>
  <cp:category/>
  <cp:contentStatus/>
</cp:coreProperties>
</file>