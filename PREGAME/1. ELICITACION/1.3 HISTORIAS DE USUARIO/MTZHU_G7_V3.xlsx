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2EACB06-E70A-4978-8162-1EAD96CEDA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<sst xmlns="http://schemas.openxmlformats.org/spreadsheetml/2006/main" count="114" uniqueCount="82">
  <si>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</si>
  <si>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</si>
  <si>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</si>
  <si>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</si>
  <si>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</si>
  <si>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</si>
  <si>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</si>
  <si>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</si>
  <si>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</si>
  <si>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</si>
  <si>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</si>
  <si>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</si>
  <si>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</si>
  <si>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</si>
  <si>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</si>
  <si>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</si>
  <si>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</si>
  <si>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</si>
  <si>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</si>
  <si>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</si>
  <si>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</si>
  <si>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</si>
  <si>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</si>
  <si>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</si>
  <si>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</si>
  <si>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</si>
  <si>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</si>
  <si>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</si>
  <si>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</si>
  <si>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</si>
  <si>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</si>
  <si>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</si>
  <si>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</si>
  <si>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</si>
  <si>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El sistema no cuenta con control de ingreso para proteger la información de ventas y servicios.</t>
  </si>
  <si>
    <t>Garantizar que solo el personal autorizado acceda a los registros de la tienda.</t>
  </si>
  <si>
    <t>Administrador / Dueña</t>
  </si>
  <si>
    <t>Diseñar una pantalla de acceso. Validar las credenciales contra la base de datos para permitir o denegar el ingreso.</t>
  </si>
  <si>
    <t>Martin Palacios</t>
  </si>
  <si>
    <t>Matias Medina</t>
  </si>
  <si>
    <t>Leopoldo Bolaños</t>
  </si>
  <si>
    <t>2 horas</t>
  </si>
  <si>
    <t>6 horas</t>
  </si>
  <si>
    <t>4 horas</t>
  </si>
  <si>
    <t>Se intenta ingresar con un usuario falso y el sistema lo rechaza; al usar la clave correcta, permite entrar al menú principal.</t>
  </si>
  <si>
    <t>Gestion de Reporte de ventas</t>
  </si>
  <si>
    <t>Acceso Seguro (Login)</t>
  </si>
  <si>
    <t>Venta de Productos (Tienda)</t>
  </si>
  <si>
    <t>El sistema deberá permitir el registro de snacks, bebidas y helados con nombre y precio fijo</t>
  </si>
  <si>
    <t>Crear un catálogo donde se elija el producto y se sume al total de la venta.</t>
  </si>
  <si>
    <t>Se selecciona un producto (helado, bebida) el sistema debe dar el total exacto.</t>
  </si>
  <si>
    <t>Gestión de Servicios TAG</t>
  </si>
  <si>
    <t>El sistema deberá permitir el registro de homologaciones, desactivaciones y usuarios de peajes.</t>
  </si>
  <si>
    <t>Crear un formulario con opciones desplegables (Panavial, Costa, etc.) y precios fijos.</t>
  </si>
  <si>
    <t>Al elegir "Homologación Panavial", el sistema debe asignar el precio correspondiente.</t>
  </si>
  <si>
    <t>REQ004</t>
  </si>
  <si>
    <t>REQ005</t>
  </si>
  <si>
    <t>REQ006</t>
  </si>
  <si>
    <t>Registro de Datos del Cliente</t>
  </si>
  <si>
    <t>Crear un formulario donde se agreguen campos obligatorios: Nombres, Celular y Correo Electrónico en el módulo de servicios.</t>
  </si>
  <si>
    <t>No permite guardar una homologación si falta el celular o el correo del cliente.</t>
  </si>
  <si>
    <t>Gestión  de Precio Variable</t>
  </si>
  <si>
    <t>Crear una casilla donde el usuario ingrese manualmente el valor según el trabajo realizado.</t>
  </si>
  <si>
    <t>Se ingresa un valor de "3.50" para una mica y se verifica que se sume al cierre.</t>
  </si>
  <si>
    <t>El sistema deberá mostrear un reporte final que sume todas las ganancias de las categorías (TAG, Tienda, Servicios).</t>
  </si>
  <si>
    <t>Generar un resumen total diario que separe las ganancias por tipo de servicio para sumarlo todo al final del reporte.</t>
  </si>
  <si>
    <t>El sistema muestra: Total TAG + Total Tienda + Total Servicos(Copias) = Gran Total del día</t>
  </si>
  <si>
    <t>No existe un registro digital para la venta rápida de productos con precio fijo como snacks y helados.</t>
  </si>
  <si>
    <t>El registro de homologaciones y trámites de peajes se realiza manualmente, causando desorden en la información</t>
  </si>
  <si>
    <t>No se cuenta con una base de datos para almacenar los datos de contacto de los clientes de servicios</t>
  </si>
  <si>
    <t>El sistema no permite registrar cobros de servicios con valores cambiantes como copias, micas e impresiones.</t>
  </si>
  <si>
    <t>El proceso de cierre diario es lento y propenso a errores humanos al sumar manualmente distintas categorías.</t>
  </si>
  <si>
    <t>Agilizar el cobro de productos físicos y mantener un control claro sobre las ventas de mostrador.</t>
  </si>
  <si>
    <t>Organizar los trámites por categorías específicas (Panavial, Costa, etc.) para evitar errores de registro.</t>
  </si>
  <si>
    <t>Asegurar el registro de los datos de contacto necesarios para el seguimiento y validación de los trámites.</t>
  </si>
  <si>
    <t>Permitir el ingreso de precios dinámicos según el volumen de trabajo realizado en papelería y micas.</t>
  </si>
  <si>
    <t>Obtener un resumen automático del ingreso total del día, separando claramente las ganancias de cada área.</t>
  </si>
  <si>
    <t>Agosto</t>
  </si>
  <si>
    <t>El sistema deberá pedir ingresar datos del cliente para los servicios de TAG.</t>
  </si>
  <si>
    <t>El sistema deberá solicitar un inicio de sesión (Login) con usuario y contraseña.</t>
  </si>
  <si>
    <t>5 horas</t>
  </si>
  <si>
    <t>El sistema deberá permitir el registro de servicios (copias, impresiones, micas) con precio ajustable.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</si>
</sst>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2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7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10" fillId="6" borderId="7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4" xfId="0" applyFont="1" applyBorder="1"/>
    <xf numFmtId="0" fontId="19" fillId="7" borderId="8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21" xfId="0" applyFont="1" applyBorder="1"/>
    <xf numFmtId="0" fontId="9" fillId="0" borderId="23" xfId="0" applyFont="1" applyBorder="1"/>
    <xf numFmtId="0" fontId="10" fillId="4" borderId="8" xfId="0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3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8" fillId="3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10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wrapText="1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22" xfId="0" applyFont="1" applyBorder="1"/>
    <xf numFmtId="0" fontId="20" fillId="6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5" fillId="0" borderId="0" xfId="0" applyFont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17" fillId="2" borderId="15" xfId="0" applyFont="1" applyFill="1" applyBorder="1" applyAlignment="1">
      <alignment horizontal="center" vertical="center"/>
    </xf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9" fillId="0" borderId="20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0"/>
  <sheetViews>
    <sheetView showGridLines="0" tabSelected="1" topLeftCell="A2" zoomScale="88" zoomScaleNormal="88" workbookViewId="0">
      <selection activeCell="K7" sqref="K7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4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9" customHeight="1" x14ac:dyDescent="0.25">
      <c r="B6" s="35" t="s">
        <v>15</v>
      </c>
      <c r="C6" s="37" t="s">
        <v>34</v>
      </c>
      <c r="D6" s="37" t="s">
        <v>79</v>
      </c>
      <c r="E6" s="37" t="s">
        <v>35</v>
      </c>
      <c r="F6" s="37" t="s">
        <v>36</v>
      </c>
      <c r="G6" s="37" t="s">
        <v>37</v>
      </c>
      <c r="H6" s="37" t="s">
        <v>38</v>
      </c>
      <c r="I6" s="37" t="s">
        <v>41</v>
      </c>
      <c r="J6" s="39" t="s">
        <v>77</v>
      </c>
      <c r="K6" s="33" t="s">
        <v>16</v>
      </c>
      <c r="L6" s="33" t="s">
        <v>17</v>
      </c>
      <c r="M6" s="36" t="s">
        <v>44</v>
      </c>
      <c r="N6" s="33"/>
      <c r="O6" s="37" t="s">
        <v>46</v>
      </c>
    </row>
    <row r="7" spans="2:16" ht="100.8" customHeight="1" x14ac:dyDescent="0.25">
      <c r="B7" s="38" t="s">
        <v>32</v>
      </c>
      <c r="C7" s="37" t="s">
        <v>69</v>
      </c>
      <c r="D7" s="37" t="s">
        <v>78</v>
      </c>
      <c r="E7" s="37" t="s">
        <v>74</v>
      </c>
      <c r="F7" s="37" t="s">
        <v>36</v>
      </c>
      <c r="G7" s="37" t="s">
        <v>59</v>
      </c>
      <c r="H7" s="37" t="s">
        <v>40</v>
      </c>
      <c r="I7" s="37" t="s">
        <v>42</v>
      </c>
      <c r="J7" s="39" t="s">
        <v>77</v>
      </c>
      <c r="K7" s="33" t="s">
        <v>16</v>
      </c>
      <c r="L7" s="33" t="s">
        <v>17</v>
      </c>
      <c r="M7" s="36" t="s">
        <v>60</v>
      </c>
      <c r="N7" s="33"/>
      <c r="O7" s="37" t="s">
        <v>58</v>
      </c>
    </row>
    <row r="8" spans="2:16" ht="92.4" customHeight="1" x14ac:dyDescent="0.25">
      <c r="B8" s="38" t="s">
        <v>33</v>
      </c>
      <c r="C8" s="37" t="s">
        <v>67</v>
      </c>
      <c r="D8" s="37" t="s">
        <v>48</v>
      </c>
      <c r="E8" s="37" t="s">
        <v>72</v>
      </c>
      <c r="F8" s="37" t="s">
        <v>36</v>
      </c>
      <c r="G8" s="37" t="s">
        <v>49</v>
      </c>
      <c r="H8" s="37" t="s">
        <v>39</v>
      </c>
      <c r="I8" s="38" t="s">
        <v>42</v>
      </c>
      <c r="J8" s="39" t="s">
        <v>77</v>
      </c>
      <c r="K8" s="33" t="s">
        <v>16</v>
      </c>
      <c r="L8" s="33" t="s">
        <v>17</v>
      </c>
      <c r="M8" s="37" t="s">
        <v>50</v>
      </c>
      <c r="N8" s="33"/>
      <c r="O8" s="37" t="s">
        <v>47</v>
      </c>
      <c r="P8" s="28"/>
    </row>
    <row r="9" spans="2:16" ht="114" customHeight="1" x14ac:dyDescent="0.25">
      <c r="B9" s="38" t="s">
        <v>55</v>
      </c>
      <c r="C9" s="37" t="s">
        <v>68</v>
      </c>
      <c r="D9" s="37" t="s">
        <v>52</v>
      </c>
      <c r="E9" s="37" t="s">
        <v>73</v>
      </c>
      <c r="F9" s="37" t="s">
        <v>36</v>
      </c>
      <c r="G9" s="37" t="s">
        <v>53</v>
      </c>
      <c r="H9" s="37" t="s">
        <v>40</v>
      </c>
      <c r="I9" s="37" t="s">
        <v>43</v>
      </c>
      <c r="J9" s="39" t="s">
        <v>77</v>
      </c>
      <c r="K9" s="33" t="s">
        <v>16</v>
      </c>
      <c r="L9" s="33" t="s">
        <v>17</v>
      </c>
      <c r="M9" s="36" t="s">
        <v>54</v>
      </c>
      <c r="N9" s="33"/>
      <c r="O9" s="37" t="s">
        <v>51</v>
      </c>
    </row>
    <row r="10" spans="2:16" ht="100.2" customHeight="1" x14ac:dyDescent="0.25">
      <c r="B10" s="38" t="s">
        <v>56</v>
      </c>
      <c r="C10" s="37" t="s">
        <v>70</v>
      </c>
      <c r="D10" s="37" t="s">
        <v>81</v>
      </c>
      <c r="E10" s="37" t="s">
        <v>75</v>
      </c>
      <c r="F10" s="37" t="s">
        <v>36</v>
      </c>
      <c r="G10" s="37" t="s">
        <v>62</v>
      </c>
      <c r="H10" s="37" t="s">
        <v>39</v>
      </c>
      <c r="I10" s="38" t="s">
        <v>80</v>
      </c>
      <c r="J10" s="39" t="s">
        <v>77</v>
      </c>
      <c r="K10" s="33" t="s">
        <v>16</v>
      </c>
      <c r="L10" s="33" t="s">
        <v>17</v>
      </c>
      <c r="M10" s="37" t="s">
        <v>63</v>
      </c>
      <c r="N10" s="33"/>
      <c r="O10" s="37" t="s">
        <v>61</v>
      </c>
    </row>
    <row r="11" spans="2:16" ht="95.4" customHeight="1" x14ac:dyDescent="0.25">
      <c r="B11" s="38" t="s">
        <v>57</v>
      </c>
      <c r="C11" s="37" t="s">
        <v>71</v>
      </c>
      <c r="D11" s="37" t="s">
        <v>64</v>
      </c>
      <c r="E11" s="37" t="s">
        <v>76</v>
      </c>
      <c r="F11" s="37" t="s">
        <v>36</v>
      </c>
      <c r="G11" s="37" t="s">
        <v>65</v>
      </c>
      <c r="H11" s="37" t="s">
        <v>40</v>
      </c>
      <c r="I11" s="37" t="s">
        <v>80</v>
      </c>
      <c r="J11" s="39" t="s">
        <v>77</v>
      </c>
      <c r="K11" s="33" t="s">
        <v>16</v>
      </c>
      <c r="L11" s="33" t="s">
        <v>17</v>
      </c>
      <c r="M11" s="36" t="s">
        <v>66</v>
      </c>
      <c r="N11" s="33"/>
      <c r="O11" s="37" t="s">
        <v>45</v>
      </c>
    </row>
    <row r="12" spans="2:16" ht="66" customHeight="1" x14ac:dyDescent="0.25"/>
    <row r="13" spans="2:16" ht="39.75" customHeight="1" x14ac:dyDescent="0.25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1"/>
      <c r="M13" s="30"/>
      <c r="N13" s="30"/>
      <c r="O13" s="30"/>
    </row>
    <row r="14" spans="2:16" ht="39.75" customHeight="1" x14ac:dyDescent="0.25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0"/>
      <c r="N14" s="30"/>
      <c r="O14" s="30"/>
    </row>
    <row r="15" spans="2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19.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19.5" customHeight="1" x14ac:dyDescent="0.25">
      <c r="I20" s="3"/>
      <c r="J20" s="3"/>
      <c r="K20" s="6"/>
      <c r="L20" s="3"/>
    </row>
    <row r="21" spans="2:15" ht="19.5" customHeight="1" x14ac:dyDescent="0.3">
      <c r="I21" s="1"/>
      <c r="J21" s="1"/>
      <c r="K21" s="2"/>
      <c r="L21" s="3"/>
    </row>
    <row r="22" spans="2:15" ht="19.5" customHeight="1" x14ac:dyDescent="0.3">
      <c r="I22" s="1"/>
      <c r="J22" s="1"/>
      <c r="K22" s="2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25">
      <c r="I24" s="1"/>
      <c r="J24" s="1"/>
      <c r="K24" s="7"/>
      <c r="L24" s="3"/>
    </row>
    <row r="25" spans="2:15" ht="19.5" customHeight="1" x14ac:dyDescent="0.25">
      <c r="I25" s="1"/>
      <c r="J25" s="1"/>
      <c r="K25" s="7"/>
      <c r="L25" s="3"/>
    </row>
    <row r="26" spans="2:15" ht="19.5" customHeight="1" x14ac:dyDescent="0.3">
      <c r="I26" s="1"/>
      <c r="J26" s="1"/>
      <c r="K26" s="2"/>
      <c r="L26" s="3"/>
    </row>
    <row r="27" spans="2:15" ht="19.5" customHeight="1" x14ac:dyDescent="0.3">
      <c r="I27" s="1"/>
      <c r="J27" s="1"/>
      <c r="K27" s="2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 t="s">
        <v>16</v>
      </c>
      <c r="L29" s="1" t="s">
        <v>17</v>
      </c>
      <c r="M29" s="4"/>
    </row>
    <row r="30" spans="2:15" ht="19.5" customHeight="1" x14ac:dyDescent="0.3">
      <c r="I30" s="1"/>
      <c r="J30" s="1"/>
      <c r="K30" s="2" t="s">
        <v>18</v>
      </c>
      <c r="L30" s="1" t="s">
        <v>19</v>
      </c>
      <c r="M30" s="4"/>
    </row>
    <row r="31" spans="2:15" ht="19.5" customHeight="1" x14ac:dyDescent="0.3">
      <c r="I31" s="1"/>
      <c r="J31" s="1"/>
      <c r="K31" s="2" t="s">
        <v>20</v>
      </c>
      <c r="L31" s="1" t="s">
        <v>21</v>
      </c>
      <c r="M31" s="4"/>
    </row>
    <row r="32" spans="2:15" ht="19.5" customHeight="1" x14ac:dyDescent="0.3">
      <c r="I32" s="1"/>
      <c r="J32" s="1"/>
      <c r="K32" s="2"/>
      <c r="L32" s="1" t="s">
        <v>22</v>
      </c>
      <c r="M32" s="4"/>
    </row>
    <row r="33" spans="9:12" ht="19.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25">
      <c r="I999" s="3"/>
      <c r="J999" s="3"/>
      <c r="K999" s="6"/>
      <c r="L999" s="3"/>
    </row>
    <row r="1000" spans="9:12" ht="15" customHeight="1" x14ac:dyDescent="0.25">
      <c r="I1000" s="3"/>
      <c r="J1000" s="3"/>
      <c r="K1000" s="6"/>
      <c r="L1000" s="3"/>
    </row>
  </sheetData>
  <mergeCells count="1">
    <mergeCell ref="B3:O3"/>
  </mergeCells>
  <phoneticPr fontId="22" type="noConversion"/>
  <dataValidations count="2">
    <dataValidation type="list" allowBlank="1" showErrorMessage="1" sqref="L6:L11 L13:L19" xr:uid="{00000000-0002-0000-0000-000000000000}">
      <formula1>$L$29:$L$32</formula1>
    </dataValidation>
    <dataValidation type="list" allowBlank="1" showErrorMessage="1" sqref="K6:K11 K13:K19" xr:uid="{00000000-0002-0000-0000-000001000000}">
      <formula1>$K$29:$K$31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9" zoomScale="130" zoomScaleNormal="13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61" t="s">
        <v>23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64" t="s">
        <v>24</v>
      </c>
      <c r="F9" s="63"/>
      <c r="G9" s="11"/>
      <c r="H9" s="64" t="s">
        <v>11</v>
      </c>
      <c r="I9" s="63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15</v>
      </c>
      <c r="D10" s="14"/>
      <c r="E10" s="65" t="str">
        <f>VLOOKUP(C10,'Formato descripción HU'!B6:O19,5,0)</f>
        <v>Administrador / Dueña</v>
      </c>
      <c r="F10" s="66"/>
      <c r="G10" s="15"/>
      <c r="H10" s="67" t="str">
        <f>VLOOKUP(C10,'Formato descripción HU'!B6:O19,11,0)</f>
        <v>No iniciado</v>
      </c>
      <c r="I10" s="63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25</v>
      </c>
      <c r="D12" s="14"/>
      <c r="E12" s="64" t="s">
        <v>10</v>
      </c>
      <c r="F12" s="63"/>
      <c r="G12" s="15"/>
      <c r="H12" s="64" t="s">
        <v>26</v>
      </c>
      <c r="I12" s="63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 t="str">
        <f>VLOOKUP('Historia de Usuario'!C10,'Formato descripción HU'!B6:O19,8,0)</f>
        <v>2 horas</v>
      </c>
      <c r="D13" s="14"/>
      <c r="E13" s="67" t="str">
        <f>VLOOKUP(C10,'Formato descripción HU'!B6:O19,10,0)</f>
        <v>Alta</v>
      </c>
      <c r="F13" s="63"/>
      <c r="G13" s="15"/>
      <c r="H13" s="67" t="str">
        <f>VLOOKUP(C10,'Formato descripción HU'!B6:O19,7,0)</f>
        <v>Martin Palacios</v>
      </c>
      <c r="I13" s="63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42" t="s">
        <v>27</v>
      </c>
      <c r="D15" s="52" t="str">
        <f>VLOOKUP(C10,'Formato descripción HU'!B6:O19,3,0)</f>
        <v>El sistema deberá solicitar un inicio de sesión (Login) con usuario y contraseña.</v>
      </c>
      <c r="E15" s="46"/>
      <c r="F15" s="12"/>
      <c r="G15" s="42" t="s">
        <v>28</v>
      </c>
      <c r="H15" s="52" t="str">
        <f>VLOOKUP(C10,'Formato descripción HU'!B6:O19,4,0)</f>
        <v>Garantizar que solo el personal autorizado acceda a los registros de la tienda.</v>
      </c>
      <c r="I15" s="76"/>
      <c r="J15" s="46"/>
      <c r="K15" s="12"/>
      <c r="L15" s="78" t="s">
        <v>29</v>
      </c>
      <c r="M15" s="79" t="str">
        <f>VLOOKUP(C10,'Formato descripción HU'!B6:O19,6,0)</f>
        <v>Diseñar una pantalla de acceso. Validar las credenciales contra la base de datos para permitir o denegar el ingreso.</v>
      </c>
      <c r="N15" s="80"/>
      <c r="O15" s="81"/>
      <c r="P15" s="27"/>
    </row>
    <row r="16" spans="2:16" ht="19.5" customHeight="1" x14ac:dyDescent="0.25">
      <c r="B16" s="26"/>
      <c r="C16" s="43"/>
      <c r="D16" s="50"/>
      <c r="E16" s="51"/>
      <c r="F16" s="12"/>
      <c r="G16" s="43"/>
      <c r="H16" s="50"/>
      <c r="I16" s="41"/>
      <c r="J16" s="51"/>
      <c r="K16" s="12"/>
      <c r="L16" s="43"/>
      <c r="M16" s="82"/>
      <c r="N16" s="83"/>
      <c r="O16" s="84"/>
      <c r="P16" s="27"/>
    </row>
    <row r="17" spans="2:16" ht="19.5" customHeight="1" x14ac:dyDescent="0.25">
      <c r="B17" s="26"/>
      <c r="C17" s="44"/>
      <c r="D17" s="47"/>
      <c r="E17" s="48"/>
      <c r="F17" s="12"/>
      <c r="G17" s="44"/>
      <c r="H17" s="47"/>
      <c r="I17" s="77"/>
      <c r="J17" s="48"/>
      <c r="K17" s="12"/>
      <c r="L17" s="44"/>
      <c r="M17" s="85"/>
      <c r="N17" s="86"/>
      <c r="O17" s="87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45" t="s">
        <v>30</v>
      </c>
      <c r="D19" s="46"/>
      <c r="E19" s="88" t="str">
        <f>VLOOKUP(C10,'Formato descripción HU'!B6:O18,14,0)</f>
        <v>Acceso Seguro (Login)</v>
      </c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27"/>
    </row>
    <row r="20" spans="2:16" ht="19.5" customHeight="1" x14ac:dyDescent="0.25">
      <c r="B20" s="26"/>
      <c r="C20" s="47"/>
      <c r="D20" s="48"/>
      <c r="E20" s="91"/>
      <c r="F20" s="92"/>
      <c r="G20" s="92"/>
      <c r="H20" s="92"/>
      <c r="I20" s="92"/>
      <c r="J20" s="92"/>
      <c r="K20" s="92"/>
      <c r="L20" s="92"/>
      <c r="M20" s="92"/>
      <c r="N20" s="92"/>
      <c r="O20" s="93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49" t="s">
        <v>31</v>
      </c>
      <c r="D22" s="46"/>
      <c r="E22" s="52" t="str">
        <f>VLOOKUP(C10,'Formato descripción HU'!B6:O19,12,0)</f>
        <v>Se intenta ingresar con un usuario falso y el sistema lo rechaza; al usar la clave correcta, permite entrar al menú principal.</v>
      </c>
      <c r="F22" s="53"/>
      <c r="G22" s="53"/>
      <c r="H22" s="54"/>
      <c r="I22" s="12"/>
      <c r="J22" s="49" t="s">
        <v>13</v>
      </c>
      <c r="K22" s="46"/>
      <c r="L22" s="52">
        <f>VLOOKUP(C10,'Formato descripción HU'!B6:O19,13,0)</f>
        <v>0</v>
      </c>
      <c r="M22" s="68"/>
      <c r="N22" s="68"/>
      <c r="O22" s="69"/>
      <c r="P22" s="27"/>
    </row>
    <row r="23" spans="2:16" ht="19.5" customHeight="1" x14ac:dyDescent="0.25">
      <c r="B23" s="26"/>
      <c r="C23" s="50"/>
      <c r="D23" s="51"/>
      <c r="E23" s="55"/>
      <c r="F23" s="56"/>
      <c r="G23" s="56"/>
      <c r="H23" s="57"/>
      <c r="I23" s="12"/>
      <c r="J23" s="50"/>
      <c r="K23" s="51"/>
      <c r="L23" s="70"/>
      <c r="M23" s="71"/>
      <c r="N23" s="71"/>
      <c r="O23" s="72"/>
      <c r="P23" s="27"/>
    </row>
    <row r="24" spans="2:16" ht="19.5" customHeight="1" x14ac:dyDescent="0.25">
      <c r="B24" s="26"/>
      <c r="C24" s="47"/>
      <c r="D24" s="48"/>
      <c r="E24" s="58"/>
      <c r="F24" s="59"/>
      <c r="G24" s="59"/>
      <c r="H24" s="60"/>
      <c r="I24" s="12"/>
      <c r="J24" s="47"/>
      <c r="K24" s="48"/>
      <c r="L24" s="73"/>
      <c r="M24" s="74"/>
      <c r="N24" s="74"/>
      <c r="O24" s="75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HU'!$B$6:$B$19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pc</cp:lastModifiedBy>
  <cp:revision/>
  <cp:lastPrinted>2022-11-25T05:25:55Z</cp:lastPrinted>
  <dcterms:created xsi:type="dcterms:W3CDTF">2019-10-21T15:37:14Z</dcterms:created>
  <dcterms:modified xsi:type="dcterms:W3CDTF">2026-05-27T17:58:07Z</dcterms:modified>
  <cp:category/>
  <cp:contentStatus/>
</cp:coreProperties>
</file>